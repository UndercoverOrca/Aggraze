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Data" sheetId="2" r:id="rId6"/>
    <sheet state="visible" name="Aggregate" sheetId="3" r:id="rId7"/>
  </sheets>
  <definedNames/>
  <calcPr/>
</workbook>
</file>

<file path=xl/sharedStrings.xml><?xml version="1.0" encoding="utf-8"?>
<sst xmlns="http://schemas.openxmlformats.org/spreadsheetml/2006/main" count="1148" uniqueCount="387">
  <si>
    <t>Pair</t>
  </si>
  <si>
    <t>The (currency) pair of the trade that was taken</t>
  </si>
  <si>
    <t>All trades are executed using candle closure for an entry</t>
  </si>
  <si>
    <t>Date</t>
  </si>
  <si>
    <t>The date that the trade opened</t>
  </si>
  <si>
    <t>All trades are executed using conservative stop-losses</t>
  </si>
  <si>
    <t>Open time</t>
  </si>
  <si>
    <t>The exact time (hh:mm) a trade was opened</t>
  </si>
  <si>
    <t>All trades are executed using a risk:reward of 1:1</t>
  </si>
  <si>
    <t>Closing time</t>
  </si>
  <si>
    <t>The exact time (hh:mm) a trade was closed</t>
  </si>
  <si>
    <t>Order</t>
  </si>
  <si>
    <t>The type of order that was executed (long/short)</t>
  </si>
  <si>
    <t>Day</t>
  </si>
  <si>
    <t>What day of the week the trade was opened</t>
  </si>
  <si>
    <t>Session</t>
  </si>
  <si>
    <t>In what session the trade was opened</t>
  </si>
  <si>
    <t>Setup</t>
  </si>
  <si>
    <t>What pattern was used to open the trade</t>
  </si>
  <si>
    <t>News</t>
  </si>
  <si>
    <t>Whether there was a news event present during this trade</t>
  </si>
  <si>
    <t>Result</t>
  </si>
  <si>
    <t>What the result of the given trade is (win/loss)</t>
  </si>
  <si>
    <t>Mutation</t>
  </si>
  <si>
    <t>The mutation that the given trade resulted in, expressed in percentage</t>
  </si>
  <si>
    <t>Max. drawdown</t>
  </si>
  <si>
    <t>If a trade won, what the maximum amount of drawdown was (from open to highest/lowest wick)</t>
  </si>
  <si>
    <t>Max. result</t>
  </si>
  <si>
    <t>What the maximum risk:reward ratio of the given trade was</t>
  </si>
  <si>
    <t>Screenshot 4H</t>
  </si>
  <si>
    <t>A screenshot of the given trade on the 4 hour timeframe</t>
  </si>
  <si>
    <t>Screenshot 30min</t>
  </si>
  <si>
    <t>A screenshot of the given trade on the 30 minute timeframe</t>
  </si>
  <si>
    <t>DoL</t>
  </si>
  <si>
    <t>Date of support/resistance level. The exact date when a support/resistance level was created</t>
  </si>
  <si>
    <t>ToL</t>
  </si>
  <si>
    <t>Time of support/resistaance level. The exact timestamp when a support/resistance level was created. It counts from the second candle that makes the support/resistance pair</t>
  </si>
  <si>
    <t>Level price</t>
  </si>
  <si>
    <t>The price where the support/resistance level was created</t>
  </si>
  <si>
    <t>4H direction</t>
  </si>
  <si>
    <t>The direction of the 4H timeframe</t>
  </si>
  <si>
    <t>15MOC</t>
  </si>
  <si>
    <t>15 minute opposite close. Whether the 15 minute closed in the opposite direction of the desired trade</t>
  </si>
  <si>
    <t>MDwR</t>
  </si>
  <si>
    <t>Maximum drawdown with runner. The maximum drawdown when looking at the maximum result of the given trade.</t>
  </si>
  <si>
    <t>Open</t>
  </si>
  <si>
    <t>The open price of the breakout candle</t>
  </si>
  <si>
    <t>High</t>
  </si>
  <si>
    <t>The high price of the breakout candle</t>
  </si>
  <si>
    <t>Low</t>
  </si>
  <si>
    <t>The low price of the breakout candle</t>
  </si>
  <si>
    <t>Close</t>
  </si>
  <si>
    <t>The close price of the breakout candle</t>
  </si>
  <si>
    <t>NLP</t>
  </si>
  <si>
    <t>Next level price. The price at which the next support/resistance level is located</t>
  </si>
  <si>
    <t>AOHOL</t>
  </si>
  <si>
    <t>Amount of hits on level</t>
  </si>
  <si>
    <t>AOHOTL</t>
  </si>
  <si>
    <t>Amount of hits on target level</t>
  </si>
  <si>
    <t>PoBC</t>
  </si>
  <si>
    <t>PoBCfC</t>
  </si>
  <si>
    <t>AoPfB</t>
  </si>
  <si>
    <t>Screenshot 15min</t>
  </si>
  <si>
    <t>Notes</t>
  </si>
  <si>
    <t>XAUUSD</t>
  </si>
  <si>
    <t>Sell</t>
  </si>
  <si>
    <t>Friday</t>
  </si>
  <si>
    <t>London</t>
  </si>
  <si>
    <t>Continuation</t>
  </si>
  <si>
    <t>Bullish</t>
  </si>
  <si>
    <t>Win</t>
  </si>
  <si>
    <t>https://www.tradingview.com/x/xnpOqAYi/</t>
  </si>
  <si>
    <t>https://www.tradingview.com/x/MU0nyts6/</t>
  </si>
  <si>
    <t>https://www.tradingview.com/x/mVnFS8i4/</t>
  </si>
  <si>
    <t>The max result is actually 32,21, but that would mean that you would have trade through multiple levels</t>
  </si>
  <si>
    <t>New York</t>
  </si>
  <si>
    <t>https://www.tradingview.com/x/U31jTson/</t>
  </si>
  <si>
    <t>The max result is actually 18,27, but that would mean that you would have trade through multiple levels</t>
  </si>
  <si>
    <t>Monday</t>
  </si>
  <si>
    <t>Bearish</t>
  </si>
  <si>
    <t>-</t>
  </si>
  <si>
    <t>Loss</t>
  </si>
  <si>
    <t>https://www.tradingview.com/x/XpoqJ115/</t>
  </si>
  <si>
    <t>https://www.tradingview.com/x/Abn6e52g/</t>
  </si>
  <si>
    <t>https://www.tradingview.com/x/RgG5cyj6/</t>
  </si>
  <si>
    <t>https://www.tradingview.com/x/1Qf7a0nY/</t>
  </si>
  <si>
    <t>https://www.tradingview.com/x/IB7tVyvO/</t>
  </si>
  <si>
    <t>https://www.tradingview.com/x/MusVpJs3/</t>
  </si>
  <si>
    <t>The max result is actually 7,06, but that would mean that you would have trade through multiple levels</t>
  </si>
  <si>
    <t>Buy</t>
  </si>
  <si>
    <t>Tuesday</t>
  </si>
  <si>
    <t>https://www.tradingview.com/x/noefuquG/</t>
  </si>
  <si>
    <t>https://www.tradingview.com/x/sX9x4u6R/</t>
  </si>
  <si>
    <t>https://www.tradingview.com/x/6KGkOsgW/</t>
  </si>
  <si>
    <t>The max result is actually 8,69, but that would mean that you would have trade through multiple levels</t>
  </si>
  <si>
    <t>Wednesday</t>
  </si>
  <si>
    <t>https://www.tradingview.com/x/x4iTZKKx/</t>
  </si>
  <si>
    <t>https://www.tradingview.com/x/oPN8P44K/</t>
  </si>
  <si>
    <t>https://www.tradingview.com/x/fCj6UJh5/</t>
  </si>
  <si>
    <t>https://www.tradingview.com/x/hiy7l0ES/</t>
  </si>
  <si>
    <t>https://www.tradingview.com/x/YYmyL4kj/</t>
  </si>
  <si>
    <t>https://www.tradingview.com/x/Ugonmf0W/</t>
  </si>
  <si>
    <t>The max result is actually 10,36, but that would mean that you would have trade through multiple levels</t>
  </si>
  <si>
    <t>Thursday</t>
  </si>
  <si>
    <t>https://www.tradingview.com/x/9DPjKz6b/</t>
  </si>
  <si>
    <t>https://www.tradingview.com/x/zRDOHAGy/</t>
  </si>
  <si>
    <t>https://www.tradingview.com/x/KiF4mFdE/</t>
  </si>
  <si>
    <t>The max result is actually 8,42, but that would mean that you would have trade through multiple levels</t>
  </si>
  <si>
    <t>https://www.tradingview.com/x/Scgg4bfp/</t>
  </si>
  <si>
    <t>https://www.tradingview.com/x/cx7s0Izk/</t>
  </si>
  <si>
    <t>https://www.tradingview.com/x/QYqGYbH4/</t>
  </si>
  <si>
    <t>The SL got hit, right before it moved in the right direction and hit TP. It is hard to determine whether a flip happened or directly to SL, which would mean the trade wouldn't have been opened</t>
  </si>
  <si>
    <t>https://www.tradingview.com/x/zc572ZyN/</t>
  </si>
  <si>
    <t>https://www.tradingview.com/x/DJNHSLH9/</t>
  </si>
  <si>
    <t>https://www.tradingview.com/x/s16UFSdJ/</t>
  </si>
  <si>
    <t>https://www.tradingview.com/x/zSutV4Zl/</t>
  </si>
  <si>
    <t>https://www.tradingview.com/x/oWlK64qS/</t>
  </si>
  <si>
    <t>https://www.tradingview.com/x/SuiSwVJu/</t>
  </si>
  <si>
    <t>https://www.tradingview.com/x/xMaukff8/</t>
  </si>
  <si>
    <t>https://www.tradingview.com/x/SkNsOwIh/</t>
  </si>
  <si>
    <t>https://www.tradingview.com/x/D9BIUApw/</t>
  </si>
  <si>
    <t>https://www.tradingview.com/x/VDaWtATd/</t>
  </si>
  <si>
    <t>https://www.tradingview.com/x/wS6SXuoA/</t>
  </si>
  <si>
    <t>https://www.tradingview.com/x/pKMX4Qlg/</t>
  </si>
  <si>
    <t>The max result is actually 3,70, but that would mean that you would have trade through multiple levels</t>
  </si>
  <si>
    <t>https://www.tradingview.com/x/SKeyj7XM/</t>
  </si>
  <si>
    <t>https://www.tradingview.com/x/PgRF3v8L/</t>
  </si>
  <si>
    <t>https://www.tradingview.com/x/KE0X8ttw/</t>
  </si>
  <si>
    <t>https://www.tradingview.com/x/WMOQnYfJ/</t>
  </si>
  <si>
    <t>https://www.tradingview.com/x/LvKjd6p2/</t>
  </si>
  <si>
    <t>https://www.tradingview.com/x/l87L9VBn/</t>
  </si>
  <si>
    <t>https://www.tradingview.com/x/4MmuA2Vt/</t>
  </si>
  <si>
    <t>https://www.tradingview.com/x/PvHsHIIc/</t>
  </si>
  <si>
    <t>https://www.tradingview.com/x/kjLtaEFP/</t>
  </si>
  <si>
    <t>https://www.tradingview.com/x/oAfqXVlO/</t>
  </si>
  <si>
    <t>https://www.tradingview.com/x/yjJ9RoJX/</t>
  </si>
  <si>
    <t>https://www.tradingview.com/x/ByzuSoft/</t>
  </si>
  <si>
    <t>The max result is actually 2,60, but that would mean that you would have trade through a level</t>
  </si>
  <si>
    <t>https://www.tradingview.com/x/oOsVSkl2/</t>
  </si>
  <si>
    <t>https://www.tradingview.com/x/O9qjFFCc/</t>
  </si>
  <si>
    <t>https://www.tradingview.com/x/di6WRsDN/</t>
  </si>
  <si>
    <t>https://www.tradingview.com/x/VnSme37y/</t>
  </si>
  <si>
    <t>https://www.tradingview.com/x/2NI6Gvh1/</t>
  </si>
  <si>
    <t>https://www.tradingview.com/x/r6xgoSaO/</t>
  </si>
  <si>
    <t>https://www.tradingview.com/x/qOP4Gz1m/</t>
  </si>
  <si>
    <t>https://www.tradingview.com/x/a7spfYr7/</t>
  </si>
  <si>
    <t>https://www.tradingview.com/x/52dtYQ3N/</t>
  </si>
  <si>
    <t>The max result is actually 19,84, but that would mean that you would have trade through multiple levels</t>
  </si>
  <si>
    <t>https://www.tradingview.com/x/B41MYd4s/</t>
  </si>
  <si>
    <t>https://www.tradingview.com/x/KFaEUy9v/</t>
  </si>
  <si>
    <t>https://www.tradingview.com/x/WuxRSfxU/</t>
  </si>
  <si>
    <t>https://www.tradingview.com/x/i8v9KGfr/</t>
  </si>
  <si>
    <t>https://www.tradingview.com/x/Ob5LlcIy/</t>
  </si>
  <si>
    <t>https://www.tradingview.com/x/wrWp3QPP/</t>
  </si>
  <si>
    <t>https://www.tradingview.com/x/P1PEepV7/</t>
  </si>
  <si>
    <t>https://www.tradingview.com/x/7KE3AWdH/</t>
  </si>
  <si>
    <t>https://www.tradingview.com/x/XmTfesPJ/</t>
  </si>
  <si>
    <t>https://www.tradingview.com/x/tTvve8HV/</t>
  </si>
  <si>
    <t>https://www.tradingview.com/x/Ln2cupAl/</t>
  </si>
  <si>
    <t>https://www.tradingview.com/x/yXmPbJ6q/</t>
  </si>
  <si>
    <t>https://www.tradingview.com/x/03Rtudzv/</t>
  </si>
  <si>
    <t>https://www.tradingview.com/x/n0htUmMD/</t>
  </si>
  <si>
    <t>https://www.tradingview.com/x/OBAkEVdI/</t>
  </si>
  <si>
    <t>https://www.tradingview.com/x/CyKAqhaZ/</t>
  </si>
  <si>
    <t>https://www.tradingview.com/x/7bo3S0VU/</t>
  </si>
  <si>
    <t>https://www.tradingview.com/x/KdjZsJnD/</t>
  </si>
  <si>
    <t>The max result is actually 27,24, but that would mean that you would have trade through multiple levels</t>
  </si>
  <si>
    <t>https://www.tradingview.com/x/WEkEwJQC/</t>
  </si>
  <si>
    <t>https://www.tradingview.com/x/PS2rpJ2K/</t>
  </si>
  <si>
    <t>https://www.tradingview.com/x/yYULF9E7/</t>
  </si>
  <si>
    <t>https://www.tradingview.com/x/uimFSRUl/</t>
  </si>
  <si>
    <t>https://www.tradingview.com/x/TtT0tDos/</t>
  </si>
  <si>
    <t>https://www.tradingview.com/x/bQ2dXKc8/</t>
  </si>
  <si>
    <t>The breakout candle is rather big. The price action in the trade is also quite choppy. This might be a good rule to add regarding putting a trade break even</t>
  </si>
  <si>
    <t>https://www.tradingview.com/x/OvHDO0cI/</t>
  </si>
  <si>
    <t>https://www.tradingview.com/x/TXWR6YAJ/</t>
  </si>
  <si>
    <t>https://www.tradingview.com/x/NRSVtzVu/</t>
  </si>
  <si>
    <t>https://www.tradingview.com/x/hvoB8kie/</t>
  </si>
  <si>
    <t>https://www.tradingview.com/x/gdEu9lLj/</t>
  </si>
  <si>
    <t>https://www.tradingview.com/x/RWTTBiSI/</t>
  </si>
  <si>
    <t>The max result is actually 16,1, but that would mean that you would have trade through multiple levels. Given that I would probably have moved the trade to BE, the 1,79 was the max result before the price comes back to the entry level</t>
  </si>
  <si>
    <t>https://www.tradingview.com/x/nVVbu7B1/</t>
  </si>
  <si>
    <t>https://www.tradingview.com/x/ie5wk0KV/</t>
  </si>
  <si>
    <t>https://www.tradingview.com/x/EAxpnqKF/</t>
  </si>
  <si>
    <t>The max result is actually 9,78, but that would mean that you would have trade through multiple levels</t>
  </si>
  <si>
    <t>https://www.tradingview.com/x/9tIvy6Kc/</t>
  </si>
  <si>
    <t>https://www.tradingview.com/x/MgFjvrYY/</t>
  </si>
  <si>
    <t>https://www.tradingview.com/x/u6BBSWQW/</t>
  </si>
  <si>
    <t>https://www.tradingview.com/x/7SqeuW07/</t>
  </si>
  <si>
    <t>https://www.tradingview.com/x/FJ2M6hce/</t>
  </si>
  <si>
    <t>https://www.tradingview.com/x/2x14agmq/</t>
  </si>
  <si>
    <t>https://www.tradingview.com/x/cpEQMVkc/</t>
  </si>
  <si>
    <t>https://www.tradingview.com/x/SGqrLVKK/</t>
  </si>
  <si>
    <t>https://www.tradingview.com/x/y46zoHWS/</t>
  </si>
  <si>
    <t>https://www.tradingview.com/x/N2jhAQBw/</t>
  </si>
  <si>
    <t>https://www.tradingview.com/x/O8LtpaQO/</t>
  </si>
  <si>
    <t>https://www.tradingview.com/x/Vii7dEvT/</t>
  </si>
  <si>
    <t>https://www.tradingview.com/x/emwqkpe4/</t>
  </si>
  <si>
    <t>https://www.tradingview.com/x/wVG479NH/</t>
  </si>
  <si>
    <t>https://www.tradingview.com/x/u6590E2X/</t>
  </si>
  <si>
    <t>The max result is actually 2,74, but that would mean that you would have trade through multiple levels. Given that I would probably have moved the trade to BE, the 1,16 was the max result before the price comes back to the entry level</t>
  </si>
  <si>
    <t>https://www.tradingview.com/x/AVhR02vW/</t>
  </si>
  <si>
    <t>https://www.tradingview.com/x/spNYOUqB/</t>
  </si>
  <si>
    <t>https://www.tradingview.com/x/HNzJVe7Y/</t>
  </si>
  <si>
    <t>https://www.tradingview.com/x/Ghx6OG4b/</t>
  </si>
  <si>
    <t>https://www.tradingview.com/x/9Y2OmGG5/</t>
  </si>
  <si>
    <t>https://www.tradingview.com/x/0WbK6X65/</t>
  </si>
  <si>
    <t>https://www.tradingview.com/x/2x0bKUxU/</t>
  </si>
  <si>
    <t>https://www.tradingview.com/x/RLgUVfaH/</t>
  </si>
  <si>
    <t>https://www.tradingview.com/x/GUJK0XJt/</t>
  </si>
  <si>
    <t>https://www.tradingview.com/x/2Fve4KfQ/</t>
  </si>
  <si>
    <t>https://www.tradingview.com/x/1rZnv5P5/</t>
  </si>
  <si>
    <t>https://www.tradingview.com/x/oAGzuevW/</t>
  </si>
  <si>
    <t>https://www.tradingview.com/x/Va218PK7/</t>
  </si>
  <si>
    <t>https://www.tradingview.com/x/f7nbVjiB/</t>
  </si>
  <si>
    <t>https://www.tradingview.com/x/pDDyN9Jv/</t>
  </si>
  <si>
    <t>https://www.tradingview.com/x/hthoGHip/</t>
  </si>
  <si>
    <t>https://www.tradingview.com/x/xo6KJeSU/</t>
  </si>
  <si>
    <t>https://www.tradingview.com/x/nI4sX1c9/</t>
  </si>
  <si>
    <t>https://www.tradingview.com/x/yGL2Btlm/</t>
  </si>
  <si>
    <t>https://www.tradingview.com/x/WgSlEoiR/</t>
  </si>
  <si>
    <t>https://www.tradingview.com/x/HSzPv0wC/</t>
  </si>
  <si>
    <t>https://www.tradingview.com/x/1VvNTL9n/</t>
  </si>
  <si>
    <t>https://www.tradingview.com/x/WfbKGML2/</t>
  </si>
  <si>
    <t>https://www.tradingview.com/x/0LDDD1Z7/</t>
  </si>
  <si>
    <t>https://www.tradingview.com/x/Xcgf4Iwq/</t>
  </si>
  <si>
    <t>https://www.tradingview.com/x/6g5aa3OM/</t>
  </si>
  <si>
    <t>https://www.tradingview.com/x/MiMRN01L/</t>
  </si>
  <si>
    <t>https://www.tradingview.com/x/hoFUDJOv/</t>
  </si>
  <si>
    <t>https://www.tradingview.com/x/gZ9v3pXE/</t>
  </si>
  <si>
    <t>https://www.tradingview.com/x/Q30VK9tn/</t>
  </si>
  <si>
    <t>The max result is actually 5,62, but that would mean that you would have trade through multiple levels</t>
  </si>
  <si>
    <t>https://www.tradingview.com/x/Iz6Fz0l6/</t>
  </si>
  <si>
    <t>https://www.tradingview.com/x/UBHLpOxP/</t>
  </si>
  <si>
    <t>https://www.tradingview.com/x/TNkqBM9F/</t>
  </si>
  <si>
    <t>https://www.tradingview.com/x/FIF9HgLF/</t>
  </si>
  <si>
    <t>https://www.tradingview.com/x/l4fPHZCl/</t>
  </si>
  <si>
    <t>The max result is actually 7,55, but that would mean that you would have trade through multiple levels. Given that I would probably have moved the trade to BE, the 1,58 was the max result before the price comes back to the entry level</t>
  </si>
  <si>
    <t>https://www.tradingview.com/x/jFCsL962/</t>
  </si>
  <si>
    <t>https://www.tradingview.com/x/HCvnuSNP/</t>
  </si>
  <si>
    <t>https://www.tradingview.com/x/erqAwUbG/</t>
  </si>
  <si>
    <t>https://www.tradingview.com/x/OpPg37Ko/</t>
  </si>
  <si>
    <t>https://www.tradingview.com/x/WE6FdQ8z/</t>
  </si>
  <si>
    <t>https://www.tradingview.com/x/DO8rwWZg/</t>
  </si>
  <si>
    <t>https://www.tradingview.com/x/loMRCKam/</t>
  </si>
  <si>
    <t>https://www.tradingview.com/x/PZuRmVYW/</t>
  </si>
  <si>
    <t>https://www.tradingview.com/x/5NZtjE6l/</t>
  </si>
  <si>
    <t>https://www.tradingview.com/x/aqClE9b4/</t>
  </si>
  <si>
    <t>https://www.tradingview.com/x/4YVCyBqP/</t>
  </si>
  <si>
    <t>https://www.tradingview.com/x/mCe8aGhA/</t>
  </si>
  <si>
    <t>https://www.tradingview.com/x/sxUlViUZ/</t>
  </si>
  <si>
    <t>https://www.tradingview.com/x/ODGwPX8Y/</t>
  </si>
  <si>
    <t>https://www.tradingview.com/x/xiR3bcyU/</t>
  </si>
  <si>
    <t>https://www.tradingview.com/x/FyW1sKJD/</t>
  </si>
  <si>
    <t>https://www.tradingview.com/x/54oDhT1T/</t>
  </si>
  <si>
    <t>https://www.tradingview.com/x/BAEHhzTb/</t>
  </si>
  <si>
    <t>https://www.tradingview.com/x/kM63mZIl/</t>
  </si>
  <si>
    <t>https://www.tradingview.com/x/3hFlK8uY/</t>
  </si>
  <si>
    <t>https://www.tradingview.com/x/fXpwz7DM/</t>
  </si>
  <si>
    <t>https://www.tradingview.com/x/6foSVSw7/</t>
  </si>
  <si>
    <t>https://www.tradingview.com/x/43D5YuQP/</t>
  </si>
  <si>
    <t>https://www.tradingview.com/x/eVgxnQ86/</t>
  </si>
  <si>
    <t>https://www.tradingview.com/x/HseEbdKy/</t>
  </si>
  <si>
    <t>https://www.tradingview.com/x/SYYZPWlp/</t>
  </si>
  <si>
    <t>https://www.tradingview.com/x/S2Vu4M4X/</t>
  </si>
  <si>
    <t>https://www.tradingview.com/x/H2XD1GAR/</t>
  </si>
  <si>
    <t>https://www.tradingview.com/x/CrcngIsH/</t>
  </si>
  <si>
    <t>https://www.tradingview.com/x/6L3RDpcj/</t>
  </si>
  <si>
    <t>https://www.tradingview.com/x/LxCKHgrK/</t>
  </si>
  <si>
    <t>https://www.tradingview.com/x/5ARQzALU/</t>
  </si>
  <si>
    <t>https://www.tradingview.com/x/j0Z8qs6C/</t>
  </si>
  <si>
    <t>https://www.tradingview.com/x/3cBee1gu/</t>
  </si>
  <si>
    <t>https://www.tradingview.com/x/BP3EU0Wg/</t>
  </si>
  <si>
    <t>https://www.tradingview.com/x/ZCudyvMk/</t>
  </si>
  <si>
    <t>https://www.tradingview.com/x/259JEwQu/</t>
  </si>
  <si>
    <t>https://www.tradingview.com/x/njjiQBGF/</t>
  </si>
  <si>
    <t>The max result is actually 7,26, but that would mean that you would have trade through multiple levels. Given that I would probably have moved the trade to BE, the 1,11 was the max result before the price comes back to the entry level</t>
  </si>
  <si>
    <t>https://www.tradingview.com/x/lAXpthKW/</t>
  </si>
  <si>
    <t>https://www.tradingview.com/x/KFh0mysC/</t>
  </si>
  <si>
    <t>https://www.tradingview.com/x/M4aeTVzG/</t>
  </si>
  <si>
    <t>https://www.tradingview.com/x/bAgT5rAC/</t>
  </si>
  <si>
    <t>https://www.tradingview.com/x/McSi0WWK/</t>
  </si>
  <si>
    <t>https://www.tradingview.com/x/uZLzR1Mf/</t>
  </si>
  <si>
    <t>https://www.tradingview.com/x/wiVkpo15/</t>
  </si>
  <si>
    <t>https://www.tradingview.com/x/Osb4f1UE/</t>
  </si>
  <si>
    <t>https://www.tradingview.com/x/69UNt3ER/</t>
  </si>
  <si>
    <t>https://www.tradingview.com/x/tazGteqx/</t>
  </si>
  <si>
    <t>https://www.tradingview.com/x/qFh7LnLr/</t>
  </si>
  <si>
    <t>https://www.tradingview.com/x/BeKOBpkM/</t>
  </si>
  <si>
    <t>https://www.tradingview.com/x/CrzRN8hO/</t>
  </si>
  <si>
    <t>https://www.tradingview.com/x/ySTrpzYU/</t>
  </si>
  <si>
    <t>https://www.tradingview.com/x/N5E49b2z/</t>
  </si>
  <si>
    <t>https://www.tradingview.com/x/hX9AndAa/</t>
  </si>
  <si>
    <t>https://www.tradingview.com/x/yvZBsrQp/</t>
  </si>
  <si>
    <t>https://www.tradingview.com/x/ejyGdlH7/</t>
  </si>
  <si>
    <t>https://www.tradingview.com/x/4yCjqjR3/</t>
  </si>
  <si>
    <t>https://www.tradingview.com/x/2VDGmdis/</t>
  </si>
  <si>
    <t>https://www.tradingview.com/x/WJoDq59h/</t>
  </si>
  <si>
    <t>https://www.tradingview.com/x/JXhop7uV/</t>
  </si>
  <si>
    <t>https://www.tradingview.com/x/OcMFdJQQ/</t>
  </si>
  <si>
    <t>https://www.tradingview.com/x/4CzzbyIm/</t>
  </si>
  <si>
    <t>The max result is actually 3,45, but that would mean that you would have trade through multiple levels. Given that I would probably have moved the trade to BE, the 2,05 was the max result before the price comes back to the entry level</t>
  </si>
  <si>
    <t>https://www.tradingview.com/x/nzlQC2DW/</t>
  </si>
  <si>
    <t>https://www.tradingview.com/x/P2L8xITL/</t>
  </si>
  <si>
    <t>https://www.tradingview.com/x/VmMs7AmB/</t>
  </si>
  <si>
    <t>https://www.tradingview.com/x/PA0sgUoX/</t>
  </si>
  <si>
    <t>https://www.tradingview.com/x/Ng4oO7ZC/</t>
  </si>
  <si>
    <t>https://www.tradingview.com/x/riLJlLgL/</t>
  </si>
  <si>
    <t>https://www.tradingview.com/x/Xw6LHgOp/</t>
  </si>
  <si>
    <t>https://www.tradingview.com/x/Hf0jeTUi/</t>
  </si>
  <si>
    <t>https://www.tradingview.com/x/oOXbWsNq/</t>
  </si>
  <si>
    <t>https://www.tradingview.com/x/VT92abtn/</t>
  </si>
  <si>
    <t>https://www.tradingview.com/x/ErWXQD8G/</t>
  </si>
  <si>
    <t>https://www.tradingview.com/x/o8VQJtRX/</t>
  </si>
  <si>
    <t>The max result is actually 2,32, but that would mean that you would have trade through multiple levels</t>
  </si>
  <si>
    <t>https://www.tradingview.com/x/2jTrwrLJ/</t>
  </si>
  <si>
    <t>https://www.tradingview.com/x/4fFOEVBt/</t>
  </si>
  <si>
    <t>https://www.tradingview.com/x/qOqfwgJo/</t>
  </si>
  <si>
    <t>https://www.tradingview.com/x/HhT0hEmJ/</t>
  </si>
  <si>
    <t>https://www.tradingview.com/x/tQt991ix/</t>
  </si>
  <si>
    <t>https://www.tradingview.com/x/t3XSf0eH/</t>
  </si>
  <si>
    <t>https://www.tradingview.com/x/biWfTEJl/</t>
  </si>
  <si>
    <t>https://www.tradingview.com/x/5wIlqYU4/</t>
  </si>
  <si>
    <t>https://www.tradingview.com/x/XB4nsEj4/</t>
  </si>
  <si>
    <t>https://www.tradingview.com/x/FCfyNmmT/</t>
  </si>
  <si>
    <t>https://www.tradingview.com/x/5osSYTMU/</t>
  </si>
  <si>
    <t>https://www.tradingview.com/x/lowbq4bw/</t>
  </si>
  <si>
    <t>https://www.tradingview.com/x/igXmjOZ2/</t>
  </si>
  <si>
    <t>https://www.tradingview.com/x/EeYxdQFB/</t>
  </si>
  <si>
    <t>https://www.tradingview.com/x/euclBH33/</t>
  </si>
  <si>
    <t>The max result is actually 2,11, but that would mean that you would have trade through multiple levels</t>
  </si>
  <si>
    <t>https://www.tradingview.com/x/ATWbydmX/</t>
  </si>
  <si>
    <t>https://www.tradingview.com/x/5RsYTiU1/</t>
  </si>
  <si>
    <t>https://www.tradingview.com/x/4RRAcTq2/</t>
  </si>
  <si>
    <t>https://www.tradingview.com/x/P5pD0xO6/</t>
  </si>
  <si>
    <t>https://www.tradingview.com/x/3GZjNoip/</t>
  </si>
  <si>
    <t>https://www.tradingview.com/x/p0Asz1d2/</t>
  </si>
  <si>
    <t>the breakout candle is quite big</t>
  </si>
  <si>
    <t>https://www.tradingview.com/x/Jzw26AvU/</t>
  </si>
  <si>
    <t>https://www.tradingview.com/x/W6nZwi92/</t>
  </si>
  <si>
    <t>https://www.tradingview.com/x/x5u2tiYQ/</t>
  </si>
  <si>
    <t>The price does not come back, so the max result is capped on the RR to the next level price</t>
  </si>
  <si>
    <t>https://www.tradingview.com/x/5oEuF6dG/</t>
  </si>
  <si>
    <t>https://www.tradingview.com/x/JU6nqhgY/</t>
  </si>
  <si>
    <t>https://www.tradingview.com/x/jmDgBRmv/</t>
  </si>
  <si>
    <t>https://www.tradingview.com/x/F6BvMlE5/</t>
  </si>
  <si>
    <t>https://www.tradingview.com/x/TTXm7W6P/</t>
  </si>
  <si>
    <t>https://www.tradingview.com/x/7yeAwyKm/</t>
  </si>
  <si>
    <t>https://www.tradingview.com/x/O2BT0O19/</t>
  </si>
  <si>
    <t>https://www.tradingview.com/x/BaUtwZ92/</t>
  </si>
  <si>
    <t>https://www.tradingview.com/x/MFco2Xeo/</t>
  </si>
  <si>
    <t>https://www.tradingview.com/x/SS9sNLM7/</t>
  </si>
  <si>
    <t>https://www.tradingview.com/x/S1VMYYjD/</t>
  </si>
  <si>
    <t>https://www.tradingview.com/x/TBkLfe2l/</t>
  </si>
  <si>
    <t>https://www.tradingview.com/x/DAmTNBYX/</t>
  </si>
  <si>
    <t>https://www.tradingview.com/x/Zn7utDj8/</t>
  </si>
  <si>
    <t>https://www.tradingview.com/x/MosxV8TZ/</t>
  </si>
  <si>
    <t>https://www.tradingview.com/x/jRHwRDcG/</t>
  </si>
  <si>
    <t>https://www.tradingview.com/x/M9t7uiK3/</t>
  </si>
  <si>
    <t>https://www.tradingview.com/x/MYBOxDP0/</t>
  </si>
  <si>
    <t>The max result is actually 1,82, but that would mean that you would have trade through multiple levels</t>
  </si>
  <si>
    <t>Jan</t>
  </si>
  <si>
    <t>Feb</t>
  </si>
  <si>
    <t>mrt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</si>
  <si>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</si>
  <si>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</si>
  <si>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</si>
  <si>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</si>
  <si>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</si>
  <si>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</si>
  <si>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</si>
  <si>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</si>
  <si>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</si>
  <si>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Average</t>
  </si>
  <si>
    <t>Average running time</t>
  </si>
  <si>
    <t>Average running time losers</t>
  </si>
  <si>
    <t>TODO: add this</t>
  </si>
  <si>
    <t>Best day</t>
  </si>
  <si>
    <t>Worst day</t>
  </si>
  <si>
    <t>Best month</t>
  </si>
  <si>
    <t>Worst month</t>
  </si>
  <si>
    <t>Winrate</t>
  </si>
  <si>
    <t>Max losing streak</t>
  </si>
  <si>
    <t>Average running time winners</t>
  </si>
  <si>
    <t>Max drawdown</t>
  </si>
  <si>
    <t>Maximum</t>
  </si>
  <si>
    <t>Max RR where all trades would still win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</si>
</sst>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H:mm:ss"/>
    <numFmt numFmtId="166" formatCode="d-M-yyyy"/>
    <numFmt numFmtId="167" formatCode="0.00%;-0.00%;;@"/>
    <numFmt numFmtId="168" formatCode="0.00;0.00;;@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4" xfId="0" applyFont="1" applyNumberFormat="1"/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2" numFmtId="165" xfId="0" applyFont="1" applyNumberFormat="1"/>
    <xf borderId="0" fillId="0" fontId="2" numFmtId="166" xfId="0" applyFont="1" applyNumberFormat="1"/>
    <xf borderId="0" fillId="0" fontId="2" numFmtId="49" xfId="0" applyAlignment="1" applyFont="1" applyNumberFormat="1">
      <alignment horizontal="right"/>
    </xf>
    <xf borderId="0" fillId="0" fontId="2" numFmtId="10" xfId="0" applyFont="1" applyNumberFormat="1"/>
    <xf borderId="0" fillId="2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0" fillId="0" fontId="2" numFmtId="167" xfId="0" applyAlignment="1" applyFont="1" applyNumberFormat="1">
      <alignment horizontal="center"/>
    </xf>
    <xf borderId="0" fillId="0" fontId="2" numFmtId="167" xfId="0" applyAlignment="1" applyFont="1" applyNumberFormat="1">
      <alignment horizontal="center" readingOrder="0"/>
    </xf>
    <xf borderId="2" fillId="0" fontId="1" numFmtId="0" xfId="0" applyAlignment="1" applyBorder="1" applyFont="1">
      <alignment horizontal="right" readingOrder="0"/>
    </xf>
    <xf borderId="0" fillId="0" fontId="1" numFmtId="167" xfId="0" applyAlignment="1" applyFont="1" applyNumberFormat="1">
      <alignment horizontal="center"/>
    </xf>
    <xf borderId="0" fillId="0" fontId="2" numFmtId="46" xfId="0" applyAlignment="1" applyFont="1" applyNumberFormat="1">
      <alignment horizontal="center"/>
    </xf>
    <xf borderId="0" fillId="0" fontId="2" numFmtId="46" xfId="0" applyAlignment="1" applyFont="1" applyNumberFormat="1">
      <alignment horizontal="center" readingOrder="0"/>
    </xf>
    <xf borderId="0" fillId="0" fontId="1" numFmtId="46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2" numFmtId="168" xfId="0" applyAlignment="1" applyFont="1" applyNumberFormat="1">
      <alignment horizontal="center"/>
    </xf>
    <xf borderId="0" fillId="0" fontId="2" numFmtId="168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/>
    </xf>
    <xf borderId="0" fillId="0" fontId="2" numFmtId="168" xfId="0" applyAlignment="1" applyFont="1" applyNumberFormat="1">
      <alignment horizontal="center"/>
    </xf>
    <xf borderId="0" fillId="0" fontId="2" numFmtId="168" xfId="0" applyAlignment="1" applyFont="1" applyNumberFormat="1">
      <alignment horizontal="center" readingOrder="0"/>
    </xf>
    <xf borderId="0" fillId="0" fontId="1" numFmtId="168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3">
    <dxf>
      <font>
        <color rgb="FF93C47D"/>
      </font>
      <fill>
        <patternFill patternType="none"/>
      </fill>
      <border/>
    </dxf>
    <dxf>
      <font>
        <color rgb="FFE06666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adingview.com/x/PgRF3v8L/" TargetMode="External"/><Relationship Id="rId190" Type="http://schemas.openxmlformats.org/officeDocument/2006/relationships/hyperlink" Target="https://www.tradingview.com/x/Osb4f1UE/" TargetMode="External"/><Relationship Id="rId42" Type="http://schemas.openxmlformats.org/officeDocument/2006/relationships/hyperlink" Target="https://www.tradingview.com/x/WMOQnYfJ/" TargetMode="External"/><Relationship Id="rId41" Type="http://schemas.openxmlformats.org/officeDocument/2006/relationships/hyperlink" Target="https://www.tradingview.com/x/KE0X8ttw/" TargetMode="External"/><Relationship Id="rId44" Type="http://schemas.openxmlformats.org/officeDocument/2006/relationships/hyperlink" Target="https://www.tradingview.com/x/l87L9VBn/" TargetMode="External"/><Relationship Id="rId194" Type="http://schemas.openxmlformats.org/officeDocument/2006/relationships/hyperlink" Target="https://www.tradingview.com/x/BeKOBpkM/" TargetMode="External"/><Relationship Id="rId43" Type="http://schemas.openxmlformats.org/officeDocument/2006/relationships/hyperlink" Target="https://www.tradingview.com/x/LvKjd6p2/" TargetMode="External"/><Relationship Id="rId193" Type="http://schemas.openxmlformats.org/officeDocument/2006/relationships/hyperlink" Target="https://www.tradingview.com/x/qFh7LnLr/" TargetMode="External"/><Relationship Id="rId46" Type="http://schemas.openxmlformats.org/officeDocument/2006/relationships/hyperlink" Target="https://www.tradingview.com/x/PvHsHIIc/" TargetMode="External"/><Relationship Id="rId192" Type="http://schemas.openxmlformats.org/officeDocument/2006/relationships/hyperlink" Target="https://www.tradingview.com/x/tazGteqx/" TargetMode="External"/><Relationship Id="rId45" Type="http://schemas.openxmlformats.org/officeDocument/2006/relationships/hyperlink" Target="https://www.tradingview.com/x/4MmuA2Vt/" TargetMode="External"/><Relationship Id="rId191" Type="http://schemas.openxmlformats.org/officeDocument/2006/relationships/hyperlink" Target="https://www.tradingview.com/x/69UNt3ER/" TargetMode="External"/><Relationship Id="rId48" Type="http://schemas.openxmlformats.org/officeDocument/2006/relationships/hyperlink" Target="https://www.tradingview.com/x/oAfqXVlO/" TargetMode="External"/><Relationship Id="rId187" Type="http://schemas.openxmlformats.org/officeDocument/2006/relationships/hyperlink" Target="https://www.tradingview.com/x/McSi0WWK/" TargetMode="External"/><Relationship Id="rId47" Type="http://schemas.openxmlformats.org/officeDocument/2006/relationships/hyperlink" Target="https://www.tradingview.com/x/kjLtaEFP/" TargetMode="External"/><Relationship Id="rId186" Type="http://schemas.openxmlformats.org/officeDocument/2006/relationships/hyperlink" Target="https://www.tradingview.com/x/bAgT5rAC/" TargetMode="External"/><Relationship Id="rId185" Type="http://schemas.openxmlformats.org/officeDocument/2006/relationships/hyperlink" Target="https://www.tradingview.com/x/M4aeTVzG/" TargetMode="External"/><Relationship Id="rId49" Type="http://schemas.openxmlformats.org/officeDocument/2006/relationships/hyperlink" Target="https://www.tradingview.com/x/yjJ9RoJX/" TargetMode="External"/><Relationship Id="rId184" Type="http://schemas.openxmlformats.org/officeDocument/2006/relationships/hyperlink" Target="https://www.tradingview.com/x/KFh0mysC/" TargetMode="External"/><Relationship Id="rId189" Type="http://schemas.openxmlformats.org/officeDocument/2006/relationships/hyperlink" Target="https://www.tradingview.com/x/wiVkpo15/" TargetMode="External"/><Relationship Id="rId188" Type="http://schemas.openxmlformats.org/officeDocument/2006/relationships/hyperlink" Target="https://www.tradingview.com/x/uZLzR1Mf/" TargetMode="External"/><Relationship Id="rId31" Type="http://schemas.openxmlformats.org/officeDocument/2006/relationships/hyperlink" Target="https://www.tradingview.com/x/oWlK64qS/" TargetMode="External"/><Relationship Id="rId30" Type="http://schemas.openxmlformats.org/officeDocument/2006/relationships/hyperlink" Target="https://www.tradingview.com/x/zSutV4Zl/" TargetMode="External"/><Relationship Id="rId33" Type="http://schemas.openxmlformats.org/officeDocument/2006/relationships/hyperlink" Target="https://www.tradingview.com/x/xMaukff8/" TargetMode="External"/><Relationship Id="rId183" Type="http://schemas.openxmlformats.org/officeDocument/2006/relationships/hyperlink" Target="https://www.tradingview.com/x/lAXpthKW/" TargetMode="External"/><Relationship Id="rId32" Type="http://schemas.openxmlformats.org/officeDocument/2006/relationships/hyperlink" Target="https://www.tradingview.com/x/SuiSwVJu/" TargetMode="External"/><Relationship Id="rId182" Type="http://schemas.openxmlformats.org/officeDocument/2006/relationships/hyperlink" Target="https://www.tradingview.com/x/njjiQBGF/" TargetMode="External"/><Relationship Id="rId35" Type="http://schemas.openxmlformats.org/officeDocument/2006/relationships/hyperlink" Target="https://www.tradingview.com/x/D9BIUApw/" TargetMode="External"/><Relationship Id="rId181" Type="http://schemas.openxmlformats.org/officeDocument/2006/relationships/hyperlink" Target="https://www.tradingview.com/x/259JEwQu/" TargetMode="External"/><Relationship Id="rId34" Type="http://schemas.openxmlformats.org/officeDocument/2006/relationships/hyperlink" Target="https://www.tradingview.com/x/SkNsOwIh/" TargetMode="External"/><Relationship Id="rId180" Type="http://schemas.openxmlformats.org/officeDocument/2006/relationships/hyperlink" Target="https://www.tradingview.com/x/ZCudyvMk/" TargetMode="External"/><Relationship Id="rId37" Type="http://schemas.openxmlformats.org/officeDocument/2006/relationships/hyperlink" Target="https://www.tradingview.com/x/wS6SXuoA/" TargetMode="External"/><Relationship Id="rId176" Type="http://schemas.openxmlformats.org/officeDocument/2006/relationships/hyperlink" Target="https://www.tradingview.com/x/5ARQzALU/" TargetMode="External"/><Relationship Id="rId36" Type="http://schemas.openxmlformats.org/officeDocument/2006/relationships/hyperlink" Target="https://www.tradingview.com/x/VDaWtATd/" TargetMode="External"/><Relationship Id="rId175" Type="http://schemas.openxmlformats.org/officeDocument/2006/relationships/hyperlink" Target="https://www.tradingview.com/x/LxCKHgrK/" TargetMode="External"/><Relationship Id="rId39" Type="http://schemas.openxmlformats.org/officeDocument/2006/relationships/hyperlink" Target="https://www.tradingview.com/x/SKeyj7XM/" TargetMode="External"/><Relationship Id="rId174" Type="http://schemas.openxmlformats.org/officeDocument/2006/relationships/hyperlink" Target="https://www.tradingview.com/x/6L3RDpcj/" TargetMode="External"/><Relationship Id="rId38" Type="http://schemas.openxmlformats.org/officeDocument/2006/relationships/hyperlink" Target="https://www.tradingview.com/x/pKMX4Qlg/" TargetMode="External"/><Relationship Id="rId173" Type="http://schemas.openxmlformats.org/officeDocument/2006/relationships/hyperlink" Target="https://www.tradingview.com/x/CrcngIsH/" TargetMode="External"/><Relationship Id="rId179" Type="http://schemas.openxmlformats.org/officeDocument/2006/relationships/hyperlink" Target="https://www.tradingview.com/x/BP3EU0Wg/" TargetMode="External"/><Relationship Id="rId178" Type="http://schemas.openxmlformats.org/officeDocument/2006/relationships/hyperlink" Target="https://www.tradingview.com/x/3cBee1gu/" TargetMode="External"/><Relationship Id="rId177" Type="http://schemas.openxmlformats.org/officeDocument/2006/relationships/hyperlink" Target="https://www.tradingview.com/x/j0Z8qs6C/" TargetMode="External"/><Relationship Id="rId20" Type="http://schemas.openxmlformats.org/officeDocument/2006/relationships/hyperlink" Target="https://www.tradingview.com/x/Ugonmf0W/" TargetMode="External"/><Relationship Id="rId22" Type="http://schemas.openxmlformats.org/officeDocument/2006/relationships/hyperlink" Target="https://www.tradingview.com/x/zRDOHAGy/" TargetMode="External"/><Relationship Id="rId21" Type="http://schemas.openxmlformats.org/officeDocument/2006/relationships/hyperlink" Target="https://www.tradingview.com/x/9DPjKz6b/" TargetMode="External"/><Relationship Id="rId24" Type="http://schemas.openxmlformats.org/officeDocument/2006/relationships/hyperlink" Target="https://www.tradingview.com/x/Scgg4bfp/" TargetMode="External"/><Relationship Id="rId23" Type="http://schemas.openxmlformats.org/officeDocument/2006/relationships/hyperlink" Target="https://www.tradingview.com/x/KiF4mFdE/" TargetMode="External"/><Relationship Id="rId26" Type="http://schemas.openxmlformats.org/officeDocument/2006/relationships/hyperlink" Target="https://www.tradingview.com/x/QYqGYbH4/" TargetMode="External"/><Relationship Id="rId25" Type="http://schemas.openxmlformats.org/officeDocument/2006/relationships/hyperlink" Target="https://www.tradingview.com/x/cx7s0Izk/" TargetMode="External"/><Relationship Id="rId28" Type="http://schemas.openxmlformats.org/officeDocument/2006/relationships/hyperlink" Target="https://www.tradingview.com/x/DJNHSLH9/" TargetMode="External"/><Relationship Id="rId27" Type="http://schemas.openxmlformats.org/officeDocument/2006/relationships/hyperlink" Target="https://www.tradingview.com/x/zc572ZyN/" TargetMode="External"/><Relationship Id="rId29" Type="http://schemas.openxmlformats.org/officeDocument/2006/relationships/hyperlink" Target="https://www.tradingview.com/x/s16UFSdJ/" TargetMode="External"/><Relationship Id="rId11" Type="http://schemas.openxmlformats.org/officeDocument/2006/relationships/hyperlink" Target="https://www.tradingview.com/x/MusVpJs3/" TargetMode="External"/><Relationship Id="rId10" Type="http://schemas.openxmlformats.org/officeDocument/2006/relationships/hyperlink" Target="https://www.tradingview.com/x/IB7tVyvO/" TargetMode="External"/><Relationship Id="rId13" Type="http://schemas.openxmlformats.org/officeDocument/2006/relationships/hyperlink" Target="https://www.tradingview.com/x/sX9x4u6R/" TargetMode="External"/><Relationship Id="rId12" Type="http://schemas.openxmlformats.org/officeDocument/2006/relationships/hyperlink" Target="https://www.tradingview.com/x/noefuquG/" TargetMode="External"/><Relationship Id="rId15" Type="http://schemas.openxmlformats.org/officeDocument/2006/relationships/hyperlink" Target="https://www.tradingview.com/x/x4iTZKKx/" TargetMode="External"/><Relationship Id="rId198" Type="http://schemas.openxmlformats.org/officeDocument/2006/relationships/hyperlink" Target="https://www.tradingview.com/x/hX9AndAa/" TargetMode="External"/><Relationship Id="rId14" Type="http://schemas.openxmlformats.org/officeDocument/2006/relationships/hyperlink" Target="https://www.tradingview.com/x/6KGkOsgW/" TargetMode="External"/><Relationship Id="rId197" Type="http://schemas.openxmlformats.org/officeDocument/2006/relationships/hyperlink" Target="https://www.tradingview.com/x/N5E49b2z/" TargetMode="External"/><Relationship Id="rId17" Type="http://schemas.openxmlformats.org/officeDocument/2006/relationships/hyperlink" Target="https://www.tradingview.com/x/fCj6UJh5/" TargetMode="External"/><Relationship Id="rId196" Type="http://schemas.openxmlformats.org/officeDocument/2006/relationships/hyperlink" Target="https://www.tradingview.com/x/ySTrpzYU/" TargetMode="External"/><Relationship Id="rId16" Type="http://schemas.openxmlformats.org/officeDocument/2006/relationships/hyperlink" Target="https://www.tradingview.com/x/oPN8P44K/" TargetMode="External"/><Relationship Id="rId195" Type="http://schemas.openxmlformats.org/officeDocument/2006/relationships/hyperlink" Target="https://www.tradingview.com/x/CrzRN8hO/" TargetMode="External"/><Relationship Id="rId19" Type="http://schemas.openxmlformats.org/officeDocument/2006/relationships/hyperlink" Target="https://www.tradingview.com/x/YYmyL4kj/" TargetMode="External"/><Relationship Id="rId18" Type="http://schemas.openxmlformats.org/officeDocument/2006/relationships/hyperlink" Target="https://www.tradingview.com/x/hiy7l0ES/" TargetMode="External"/><Relationship Id="rId199" Type="http://schemas.openxmlformats.org/officeDocument/2006/relationships/hyperlink" Target="https://www.tradingview.com/x/yvZBsrQp/" TargetMode="External"/><Relationship Id="rId84" Type="http://schemas.openxmlformats.org/officeDocument/2006/relationships/hyperlink" Target="https://www.tradingview.com/x/OvHDO0cI/" TargetMode="External"/><Relationship Id="rId83" Type="http://schemas.openxmlformats.org/officeDocument/2006/relationships/hyperlink" Target="https://www.tradingview.com/x/bQ2dXKc8/" TargetMode="External"/><Relationship Id="rId86" Type="http://schemas.openxmlformats.org/officeDocument/2006/relationships/hyperlink" Target="https://www.tradingview.com/x/NRSVtzVu/" TargetMode="External"/><Relationship Id="rId85" Type="http://schemas.openxmlformats.org/officeDocument/2006/relationships/hyperlink" Target="https://www.tradingview.com/x/TXWR6YAJ/" TargetMode="External"/><Relationship Id="rId88" Type="http://schemas.openxmlformats.org/officeDocument/2006/relationships/hyperlink" Target="https://www.tradingview.com/x/gdEu9lLj/" TargetMode="External"/><Relationship Id="rId150" Type="http://schemas.openxmlformats.org/officeDocument/2006/relationships/hyperlink" Target="https://www.tradingview.com/x/loMRCKam/" TargetMode="External"/><Relationship Id="rId87" Type="http://schemas.openxmlformats.org/officeDocument/2006/relationships/hyperlink" Target="https://www.tradingview.com/x/hvoB8kie/" TargetMode="External"/><Relationship Id="rId89" Type="http://schemas.openxmlformats.org/officeDocument/2006/relationships/hyperlink" Target="https://www.tradingview.com/x/RWTTBiSI/" TargetMode="External"/><Relationship Id="rId80" Type="http://schemas.openxmlformats.org/officeDocument/2006/relationships/hyperlink" Target="https://www.tradingview.com/x/yYULF9E7/" TargetMode="External"/><Relationship Id="rId82" Type="http://schemas.openxmlformats.org/officeDocument/2006/relationships/hyperlink" Target="https://www.tradingview.com/x/TtT0tDos/" TargetMode="External"/><Relationship Id="rId81" Type="http://schemas.openxmlformats.org/officeDocument/2006/relationships/hyperlink" Target="https://www.tradingview.com/x/uimFSRUl/" TargetMode="External"/><Relationship Id="rId1" Type="http://schemas.openxmlformats.org/officeDocument/2006/relationships/hyperlink" Target="https://www.tradingview.com/x/xnpOqAYi/" TargetMode="External"/><Relationship Id="rId2" Type="http://schemas.openxmlformats.org/officeDocument/2006/relationships/hyperlink" Target="https://www.tradingview.com/x/MU0nyts6/" TargetMode="External"/><Relationship Id="rId3" Type="http://schemas.openxmlformats.org/officeDocument/2006/relationships/hyperlink" Target="https://www.tradingview.com/x/mVnFS8i4/" TargetMode="External"/><Relationship Id="rId149" Type="http://schemas.openxmlformats.org/officeDocument/2006/relationships/hyperlink" Target="https://www.tradingview.com/x/DO8rwWZg/" TargetMode="External"/><Relationship Id="rId4" Type="http://schemas.openxmlformats.org/officeDocument/2006/relationships/hyperlink" Target="https://www.tradingview.com/x/xnpOqAYi/" TargetMode="External"/><Relationship Id="rId148" Type="http://schemas.openxmlformats.org/officeDocument/2006/relationships/hyperlink" Target="https://www.tradingview.com/x/WE6FdQ8z/" TargetMode="External"/><Relationship Id="rId9" Type="http://schemas.openxmlformats.org/officeDocument/2006/relationships/hyperlink" Target="https://www.tradingview.com/x/1Qf7a0nY/" TargetMode="External"/><Relationship Id="rId143" Type="http://schemas.openxmlformats.org/officeDocument/2006/relationships/hyperlink" Target="https://www.tradingview.com/x/l4fPHZCl/" TargetMode="External"/><Relationship Id="rId142" Type="http://schemas.openxmlformats.org/officeDocument/2006/relationships/hyperlink" Target="https://www.tradingview.com/x/FIF9HgLF/" TargetMode="External"/><Relationship Id="rId141" Type="http://schemas.openxmlformats.org/officeDocument/2006/relationships/hyperlink" Target="https://www.tradingview.com/x/FIF9HgLF/" TargetMode="External"/><Relationship Id="rId140" Type="http://schemas.openxmlformats.org/officeDocument/2006/relationships/hyperlink" Target="https://www.tradingview.com/x/TNkqBM9F/" TargetMode="External"/><Relationship Id="rId261" Type="http://schemas.openxmlformats.org/officeDocument/2006/relationships/drawing" Target="../drawings/drawing2.xml"/><Relationship Id="rId5" Type="http://schemas.openxmlformats.org/officeDocument/2006/relationships/hyperlink" Target="https://www.tradingview.com/x/U31jTson/" TargetMode="External"/><Relationship Id="rId147" Type="http://schemas.openxmlformats.org/officeDocument/2006/relationships/hyperlink" Target="https://www.tradingview.com/x/OpPg37Ko/" TargetMode="External"/><Relationship Id="rId6" Type="http://schemas.openxmlformats.org/officeDocument/2006/relationships/hyperlink" Target="https://www.tradingview.com/x/XpoqJ115/" TargetMode="External"/><Relationship Id="rId146" Type="http://schemas.openxmlformats.org/officeDocument/2006/relationships/hyperlink" Target="https://www.tradingview.com/x/erqAwUbG/" TargetMode="External"/><Relationship Id="rId7" Type="http://schemas.openxmlformats.org/officeDocument/2006/relationships/hyperlink" Target="https://www.tradingview.com/x/Abn6e52g/" TargetMode="External"/><Relationship Id="rId145" Type="http://schemas.openxmlformats.org/officeDocument/2006/relationships/hyperlink" Target="https://www.tradingview.com/x/HCvnuSNP/" TargetMode="External"/><Relationship Id="rId8" Type="http://schemas.openxmlformats.org/officeDocument/2006/relationships/hyperlink" Target="https://www.tradingview.com/x/RgG5cyj6/" TargetMode="External"/><Relationship Id="rId144" Type="http://schemas.openxmlformats.org/officeDocument/2006/relationships/hyperlink" Target="https://www.tradingview.com/x/jFCsL962/" TargetMode="External"/><Relationship Id="rId73" Type="http://schemas.openxmlformats.org/officeDocument/2006/relationships/hyperlink" Target="https://www.tradingview.com/x/n0htUmMD/" TargetMode="External"/><Relationship Id="rId72" Type="http://schemas.openxmlformats.org/officeDocument/2006/relationships/hyperlink" Target="https://www.tradingview.com/x/03Rtudzv/" TargetMode="External"/><Relationship Id="rId75" Type="http://schemas.openxmlformats.org/officeDocument/2006/relationships/hyperlink" Target="https://www.tradingview.com/x/CyKAqhaZ/" TargetMode="External"/><Relationship Id="rId74" Type="http://schemas.openxmlformats.org/officeDocument/2006/relationships/hyperlink" Target="https://www.tradingview.com/x/OBAkEVdI/" TargetMode="External"/><Relationship Id="rId77" Type="http://schemas.openxmlformats.org/officeDocument/2006/relationships/hyperlink" Target="https://www.tradingview.com/x/KdjZsJnD/" TargetMode="External"/><Relationship Id="rId260" Type="http://schemas.openxmlformats.org/officeDocument/2006/relationships/hyperlink" Target="https://www.tradingview.com/x/MYBOxDP0/" TargetMode="External"/><Relationship Id="rId76" Type="http://schemas.openxmlformats.org/officeDocument/2006/relationships/hyperlink" Target="https://www.tradingview.com/x/7bo3S0VU/" TargetMode="External"/><Relationship Id="rId79" Type="http://schemas.openxmlformats.org/officeDocument/2006/relationships/hyperlink" Target="https://www.tradingview.com/x/PS2rpJ2K/" TargetMode="External"/><Relationship Id="rId78" Type="http://schemas.openxmlformats.org/officeDocument/2006/relationships/hyperlink" Target="https://www.tradingview.com/x/WEkEwJQC/" TargetMode="External"/><Relationship Id="rId71" Type="http://schemas.openxmlformats.org/officeDocument/2006/relationships/hyperlink" Target="https://www.tradingview.com/x/yXmPbJ6q/" TargetMode="External"/><Relationship Id="rId70" Type="http://schemas.openxmlformats.org/officeDocument/2006/relationships/hyperlink" Target="https://www.tradingview.com/x/Ln2cupAl/" TargetMode="External"/><Relationship Id="rId139" Type="http://schemas.openxmlformats.org/officeDocument/2006/relationships/hyperlink" Target="https://www.tradingview.com/x/UBHLpOxP/" TargetMode="External"/><Relationship Id="rId138" Type="http://schemas.openxmlformats.org/officeDocument/2006/relationships/hyperlink" Target="https://www.tradingview.com/x/Iz6Fz0l6/" TargetMode="External"/><Relationship Id="rId259" Type="http://schemas.openxmlformats.org/officeDocument/2006/relationships/hyperlink" Target="https://www.tradingview.com/x/M9t7uiK3/" TargetMode="External"/><Relationship Id="rId137" Type="http://schemas.openxmlformats.org/officeDocument/2006/relationships/hyperlink" Target="https://www.tradingview.com/x/Q30VK9tn/" TargetMode="External"/><Relationship Id="rId258" Type="http://schemas.openxmlformats.org/officeDocument/2006/relationships/hyperlink" Target="https://www.tradingview.com/x/jRHwRDcG/" TargetMode="External"/><Relationship Id="rId132" Type="http://schemas.openxmlformats.org/officeDocument/2006/relationships/hyperlink" Target="https://www.tradingview.com/x/Xcgf4Iwq/" TargetMode="External"/><Relationship Id="rId253" Type="http://schemas.openxmlformats.org/officeDocument/2006/relationships/hyperlink" Target="https://www.tradingview.com/x/S1VMYYjD/" TargetMode="External"/><Relationship Id="rId131" Type="http://schemas.openxmlformats.org/officeDocument/2006/relationships/hyperlink" Target="https://www.tradingview.com/x/0LDDD1Z7/" TargetMode="External"/><Relationship Id="rId252" Type="http://schemas.openxmlformats.org/officeDocument/2006/relationships/hyperlink" Target="https://www.tradingview.com/x/SS9sNLM7/" TargetMode="External"/><Relationship Id="rId130" Type="http://schemas.openxmlformats.org/officeDocument/2006/relationships/hyperlink" Target="https://www.tradingview.com/x/WfbKGML2/" TargetMode="External"/><Relationship Id="rId251" Type="http://schemas.openxmlformats.org/officeDocument/2006/relationships/hyperlink" Target="https://www.tradingview.com/x/MFco2Xeo/" TargetMode="External"/><Relationship Id="rId250" Type="http://schemas.openxmlformats.org/officeDocument/2006/relationships/hyperlink" Target="https://www.tradingview.com/x/BaUtwZ92/" TargetMode="External"/><Relationship Id="rId136" Type="http://schemas.openxmlformats.org/officeDocument/2006/relationships/hyperlink" Target="https://www.tradingview.com/x/gZ9v3pXE/" TargetMode="External"/><Relationship Id="rId257" Type="http://schemas.openxmlformats.org/officeDocument/2006/relationships/hyperlink" Target="https://www.tradingview.com/x/MosxV8TZ/" TargetMode="External"/><Relationship Id="rId135" Type="http://schemas.openxmlformats.org/officeDocument/2006/relationships/hyperlink" Target="https://www.tradingview.com/x/hoFUDJOv/" TargetMode="External"/><Relationship Id="rId256" Type="http://schemas.openxmlformats.org/officeDocument/2006/relationships/hyperlink" Target="https://www.tradingview.com/x/Zn7utDj8/" TargetMode="External"/><Relationship Id="rId134" Type="http://schemas.openxmlformats.org/officeDocument/2006/relationships/hyperlink" Target="https://www.tradingview.com/x/MiMRN01L/" TargetMode="External"/><Relationship Id="rId255" Type="http://schemas.openxmlformats.org/officeDocument/2006/relationships/hyperlink" Target="https://www.tradingview.com/x/DAmTNBYX/" TargetMode="External"/><Relationship Id="rId133" Type="http://schemas.openxmlformats.org/officeDocument/2006/relationships/hyperlink" Target="https://www.tradingview.com/x/6g5aa3OM/" TargetMode="External"/><Relationship Id="rId254" Type="http://schemas.openxmlformats.org/officeDocument/2006/relationships/hyperlink" Target="https://www.tradingview.com/x/TBkLfe2l/" TargetMode="External"/><Relationship Id="rId62" Type="http://schemas.openxmlformats.org/officeDocument/2006/relationships/hyperlink" Target="https://www.tradingview.com/x/WuxRSfxU/" TargetMode="External"/><Relationship Id="rId61" Type="http://schemas.openxmlformats.org/officeDocument/2006/relationships/hyperlink" Target="https://www.tradingview.com/x/KFaEUy9v/" TargetMode="External"/><Relationship Id="rId64" Type="http://schemas.openxmlformats.org/officeDocument/2006/relationships/hyperlink" Target="https://www.tradingview.com/x/Ob5LlcIy/" TargetMode="External"/><Relationship Id="rId63" Type="http://schemas.openxmlformats.org/officeDocument/2006/relationships/hyperlink" Target="https://www.tradingview.com/x/i8v9KGfr/" TargetMode="External"/><Relationship Id="rId66" Type="http://schemas.openxmlformats.org/officeDocument/2006/relationships/hyperlink" Target="https://www.tradingview.com/x/P1PEepV7/" TargetMode="External"/><Relationship Id="rId172" Type="http://schemas.openxmlformats.org/officeDocument/2006/relationships/hyperlink" Target="https://www.tradingview.com/x/H2XD1GAR/" TargetMode="External"/><Relationship Id="rId65" Type="http://schemas.openxmlformats.org/officeDocument/2006/relationships/hyperlink" Target="https://www.tradingview.com/x/wrWp3QPP/" TargetMode="External"/><Relationship Id="rId171" Type="http://schemas.openxmlformats.org/officeDocument/2006/relationships/hyperlink" Target="https://www.tradingview.com/x/S2Vu4M4X/" TargetMode="External"/><Relationship Id="rId68" Type="http://schemas.openxmlformats.org/officeDocument/2006/relationships/hyperlink" Target="https://www.tradingview.com/x/XmTfesPJ/" TargetMode="External"/><Relationship Id="rId170" Type="http://schemas.openxmlformats.org/officeDocument/2006/relationships/hyperlink" Target="https://www.tradingview.com/x/SYYZPWlp/" TargetMode="External"/><Relationship Id="rId67" Type="http://schemas.openxmlformats.org/officeDocument/2006/relationships/hyperlink" Target="https://www.tradingview.com/x/7KE3AWdH/" TargetMode="External"/><Relationship Id="rId60" Type="http://schemas.openxmlformats.org/officeDocument/2006/relationships/hyperlink" Target="https://www.tradingview.com/x/B41MYd4s/" TargetMode="External"/><Relationship Id="rId165" Type="http://schemas.openxmlformats.org/officeDocument/2006/relationships/hyperlink" Target="https://www.tradingview.com/x/6foSVSw7/" TargetMode="External"/><Relationship Id="rId69" Type="http://schemas.openxmlformats.org/officeDocument/2006/relationships/hyperlink" Target="https://www.tradingview.com/x/tTvve8HV/" TargetMode="External"/><Relationship Id="rId164" Type="http://schemas.openxmlformats.org/officeDocument/2006/relationships/hyperlink" Target="https://www.tradingview.com/x/fXpwz7DM/" TargetMode="External"/><Relationship Id="rId163" Type="http://schemas.openxmlformats.org/officeDocument/2006/relationships/hyperlink" Target="https://www.tradingview.com/x/3hFlK8uY/" TargetMode="External"/><Relationship Id="rId162" Type="http://schemas.openxmlformats.org/officeDocument/2006/relationships/hyperlink" Target="https://www.tradingview.com/x/kM63mZIl/" TargetMode="External"/><Relationship Id="rId169" Type="http://schemas.openxmlformats.org/officeDocument/2006/relationships/hyperlink" Target="https://www.tradingview.com/x/HseEbdKy/" TargetMode="External"/><Relationship Id="rId168" Type="http://schemas.openxmlformats.org/officeDocument/2006/relationships/hyperlink" Target="https://www.tradingview.com/x/eVgxnQ86/" TargetMode="External"/><Relationship Id="rId167" Type="http://schemas.openxmlformats.org/officeDocument/2006/relationships/hyperlink" Target="https://www.tradingview.com/x/kM63mZIl/" TargetMode="External"/><Relationship Id="rId166" Type="http://schemas.openxmlformats.org/officeDocument/2006/relationships/hyperlink" Target="https://www.tradingview.com/x/43D5YuQP/" TargetMode="External"/><Relationship Id="rId51" Type="http://schemas.openxmlformats.org/officeDocument/2006/relationships/hyperlink" Target="https://www.tradingview.com/x/oOsVSkl2/" TargetMode="External"/><Relationship Id="rId50" Type="http://schemas.openxmlformats.org/officeDocument/2006/relationships/hyperlink" Target="https://www.tradingview.com/x/ByzuSoft/" TargetMode="External"/><Relationship Id="rId53" Type="http://schemas.openxmlformats.org/officeDocument/2006/relationships/hyperlink" Target="https://www.tradingview.com/x/di6WRsDN/" TargetMode="External"/><Relationship Id="rId52" Type="http://schemas.openxmlformats.org/officeDocument/2006/relationships/hyperlink" Target="https://www.tradingview.com/x/O9qjFFCc/" TargetMode="External"/><Relationship Id="rId55" Type="http://schemas.openxmlformats.org/officeDocument/2006/relationships/hyperlink" Target="https://www.tradingview.com/x/2NI6Gvh1/" TargetMode="External"/><Relationship Id="rId161" Type="http://schemas.openxmlformats.org/officeDocument/2006/relationships/hyperlink" Target="https://www.tradingview.com/x/BAEHhzTb/" TargetMode="External"/><Relationship Id="rId54" Type="http://schemas.openxmlformats.org/officeDocument/2006/relationships/hyperlink" Target="https://www.tradingview.com/x/VnSme37y/" TargetMode="External"/><Relationship Id="rId160" Type="http://schemas.openxmlformats.org/officeDocument/2006/relationships/hyperlink" Target="https://www.tradingview.com/x/54oDhT1T/" TargetMode="External"/><Relationship Id="rId57" Type="http://schemas.openxmlformats.org/officeDocument/2006/relationships/hyperlink" Target="https://www.tradingview.com/x/qOP4Gz1m/" TargetMode="External"/><Relationship Id="rId56" Type="http://schemas.openxmlformats.org/officeDocument/2006/relationships/hyperlink" Target="https://www.tradingview.com/x/r6xgoSaO/" TargetMode="External"/><Relationship Id="rId159" Type="http://schemas.openxmlformats.org/officeDocument/2006/relationships/hyperlink" Target="https://www.tradingview.com/x/FyW1sKJD/" TargetMode="External"/><Relationship Id="rId59" Type="http://schemas.openxmlformats.org/officeDocument/2006/relationships/hyperlink" Target="https://www.tradingview.com/x/52dtYQ3N/" TargetMode="External"/><Relationship Id="rId154" Type="http://schemas.openxmlformats.org/officeDocument/2006/relationships/hyperlink" Target="https://www.tradingview.com/x/4YVCyBqP/" TargetMode="External"/><Relationship Id="rId58" Type="http://schemas.openxmlformats.org/officeDocument/2006/relationships/hyperlink" Target="https://www.tradingview.com/x/a7spfYr7/" TargetMode="External"/><Relationship Id="rId153" Type="http://schemas.openxmlformats.org/officeDocument/2006/relationships/hyperlink" Target="https://www.tradingview.com/x/aqClE9b4/" TargetMode="External"/><Relationship Id="rId152" Type="http://schemas.openxmlformats.org/officeDocument/2006/relationships/hyperlink" Target="https://www.tradingview.com/x/5NZtjE6l/" TargetMode="External"/><Relationship Id="rId151" Type="http://schemas.openxmlformats.org/officeDocument/2006/relationships/hyperlink" Target="https://www.tradingview.com/x/PZuRmVYW/" TargetMode="External"/><Relationship Id="rId158" Type="http://schemas.openxmlformats.org/officeDocument/2006/relationships/hyperlink" Target="https://www.tradingview.com/x/xiR3bcyU/" TargetMode="External"/><Relationship Id="rId157" Type="http://schemas.openxmlformats.org/officeDocument/2006/relationships/hyperlink" Target="https://www.tradingview.com/x/ODGwPX8Y/" TargetMode="External"/><Relationship Id="rId156" Type="http://schemas.openxmlformats.org/officeDocument/2006/relationships/hyperlink" Target="https://www.tradingview.com/x/sxUlViUZ/" TargetMode="External"/><Relationship Id="rId155" Type="http://schemas.openxmlformats.org/officeDocument/2006/relationships/hyperlink" Target="https://www.tradingview.com/x/mCe8aGhA/" TargetMode="External"/><Relationship Id="rId107" Type="http://schemas.openxmlformats.org/officeDocument/2006/relationships/hyperlink" Target="https://www.tradingview.com/x/u6590E2X/" TargetMode="External"/><Relationship Id="rId228" Type="http://schemas.openxmlformats.org/officeDocument/2006/relationships/hyperlink" Target="https://www.tradingview.com/x/FCfyNmmT/" TargetMode="External"/><Relationship Id="rId106" Type="http://schemas.openxmlformats.org/officeDocument/2006/relationships/hyperlink" Target="https://www.tradingview.com/x/wVG479NH/" TargetMode="External"/><Relationship Id="rId227" Type="http://schemas.openxmlformats.org/officeDocument/2006/relationships/hyperlink" Target="https://www.tradingview.com/x/XB4nsEj4/" TargetMode="External"/><Relationship Id="rId105" Type="http://schemas.openxmlformats.org/officeDocument/2006/relationships/hyperlink" Target="https://www.tradingview.com/x/emwqkpe4/" TargetMode="External"/><Relationship Id="rId226" Type="http://schemas.openxmlformats.org/officeDocument/2006/relationships/hyperlink" Target="https://www.tradingview.com/x/5wIlqYU4/" TargetMode="External"/><Relationship Id="rId104" Type="http://schemas.openxmlformats.org/officeDocument/2006/relationships/hyperlink" Target="https://www.tradingview.com/x/Vii7dEvT/" TargetMode="External"/><Relationship Id="rId225" Type="http://schemas.openxmlformats.org/officeDocument/2006/relationships/hyperlink" Target="https://www.tradingview.com/x/biWfTEJl/" TargetMode="External"/><Relationship Id="rId109" Type="http://schemas.openxmlformats.org/officeDocument/2006/relationships/hyperlink" Target="https://www.tradingview.com/x/spNYOUqB/" TargetMode="External"/><Relationship Id="rId108" Type="http://schemas.openxmlformats.org/officeDocument/2006/relationships/hyperlink" Target="https://www.tradingview.com/x/AVhR02vW/" TargetMode="External"/><Relationship Id="rId229" Type="http://schemas.openxmlformats.org/officeDocument/2006/relationships/hyperlink" Target="https://www.tradingview.com/x/5osSYTMU/" TargetMode="External"/><Relationship Id="rId220" Type="http://schemas.openxmlformats.org/officeDocument/2006/relationships/hyperlink" Target="https://www.tradingview.com/x/4fFOEVBt/" TargetMode="External"/><Relationship Id="rId103" Type="http://schemas.openxmlformats.org/officeDocument/2006/relationships/hyperlink" Target="https://www.tradingview.com/x/O8LtpaQO/" TargetMode="External"/><Relationship Id="rId224" Type="http://schemas.openxmlformats.org/officeDocument/2006/relationships/hyperlink" Target="https://www.tradingview.com/x/t3XSf0eH/" TargetMode="External"/><Relationship Id="rId102" Type="http://schemas.openxmlformats.org/officeDocument/2006/relationships/hyperlink" Target="https://www.tradingview.com/x/N2jhAQBw/" TargetMode="External"/><Relationship Id="rId223" Type="http://schemas.openxmlformats.org/officeDocument/2006/relationships/hyperlink" Target="https://www.tradingview.com/x/tQt991ix/" TargetMode="External"/><Relationship Id="rId101" Type="http://schemas.openxmlformats.org/officeDocument/2006/relationships/hyperlink" Target="https://www.tradingview.com/x/y46zoHWS/" TargetMode="External"/><Relationship Id="rId222" Type="http://schemas.openxmlformats.org/officeDocument/2006/relationships/hyperlink" Target="https://www.tradingview.com/x/HhT0hEmJ/" TargetMode="External"/><Relationship Id="rId100" Type="http://schemas.openxmlformats.org/officeDocument/2006/relationships/hyperlink" Target="https://www.tradingview.com/x/SGqrLVKK/" TargetMode="External"/><Relationship Id="rId221" Type="http://schemas.openxmlformats.org/officeDocument/2006/relationships/hyperlink" Target="https://www.tradingview.com/x/qOqfwgJo/" TargetMode="External"/><Relationship Id="rId217" Type="http://schemas.openxmlformats.org/officeDocument/2006/relationships/hyperlink" Target="https://www.tradingview.com/x/ErWXQD8G/" TargetMode="External"/><Relationship Id="rId216" Type="http://schemas.openxmlformats.org/officeDocument/2006/relationships/hyperlink" Target="https://www.tradingview.com/x/VT92abtn/" TargetMode="External"/><Relationship Id="rId215" Type="http://schemas.openxmlformats.org/officeDocument/2006/relationships/hyperlink" Target="https://www.tradingview.com/x/oOXbWsNq/" TargetMode="External"/><Relationship Id="rId214" Type="http://schemas.openxmlformats.org/officeDocument/2006/relationships/hyperlink" Target="https://www.tradingview.com/x/Hf0jeTUi/" TargetMode="External"/><Relationship Id="rId219" Type="http://schemas.openxmlformats.org/officeDocument/2006/relationships/hyperlink" Target="https://www.tradingview.com/x/2jTrwrLJ/" TargetMode="External"/><Relationship Id="rId218" Type="http://schemas.openxmlformats.org/officeDocument/2006/relationships/hyperlink" Target="https://www.tradingview.com/x/o8VQJtRX/" TargetMode="External"/><Relationship Id="rId213" Type="http://schemas.openxmlformats.org/officeDocument/2006/relationships/hyperlink" Target="https://www.tradingview.com/x/Xw6LHgOp/" TargetMode="External"/><Relationship Id="rId212" Type="http://schemas.openxmlformats.org/officeDocument/2006/relationships/hyperlink" Target="https://www.tradingview.com/x/riLJlLgL/" TargetMode="External"/><Relationship Id="rId211" Type="http://schemas.openxmlformats.org/officeDocument/2006/relationships/hyperlink" Target="https://www.tradingview.com/x/Ng4oO7ZC/" TargetMode="External"/><Relationship Id="rId210" Type="http://schemas.openxmlformats.org/officeDocument/2006/relationships/hyperlink" Target="https://www.tradingview.com/x/PA0sgUoX/" TargetMode="External"/><Relationship Id="rId129" Type="http://schemas.openxmlformats.org/officeDocument/2006/relationships/hyperlink" Target="https://www.tradingview.com/x/1VvNTL9n/" TargetMode="External"/><Relationship Id="rId128" Type="http://schemas.openxmlformats.org/officeDocument/2006/relationships/hyperlink" Target="https://www.tradingview.com/x/HSzPv0wC/" TargetMode="External"/><Relationship Id="rId249" Type="http://schemas.openxmlformats.org/officeDocument/2006/relationships/hyperlink" Target="https://www.tradingview.com/x/O2BT0O19/" TargetMode="External"/><Relationship Id="rId127" Type="http://schemas.openxmlformats.org/officeDocument/2006/relationships/hyperlink" Target="https://www.tradingview.com/x/WgSlEoiR/" TargetMode="External"/><Relationship Id="rId248" Type="http://schemas.openxmlformats.org/officeDocument/2006/relationships/hyperlink" Target="https://www.tradingview.com/x/7yeAwyKm/" TargetMode="External"/><Relationship Id="rId126" Type="http://schemas.openxmlformats.org/officeDocument/2006/relationships/hyperlink" Target="https://www.tradingview.com/x/yGL2Btlm/" TargetMode="External"/><Relationship Id="rId247" Type="http://schemas.openxmlformats.org/officeDocument/2006/relationships/hyperlink" Target="https://www.tradingview.com/x/TTXm7W6P/" TargetMode="External"/><Relationship Id="rId121" Type="http://schemas.openxmlformats.org/officeDocument/2006/relationships/hyperlink" Target="https://www.tradingview.com/x/f7nbVjiB/" TargetMode="External"/><Relationship Id="rId242" Type="http://schemas.openxmlformats.org/officeDocument/2006/relationships/hyperlink" Target="https://www.tradingview.com/x/x5u2tiYQ/" TargetMode="External"/><Relationship Id="rId120" Type="http://schemas.openxmlformats.org/officeDocument/2006/relationships/hyperlink" Target="https://www.tradingview.com/x/Va218PK7/" TargetMode="External"/><Relationship Id="rId241" Type="http://schemas.openxmlformats.org/officeDocument/2006/relationships/hyperlink" Target="https://www.tradingview.com/x/W6nZwi92/" TargetMode="External"/><Relationship Id="rId240" Type="http://schemas.openxmlformats.org/officeDocument/2006/relationships/hyperlink" Target="https://www.tradingview.com/x/Jzw26AvU/" TargetMode="External"/><Relationship Id="rId125" Type="http://schemas.openxmlformats.org/officeDocument/2006/relationships/hyperlink" Target="https://www.tradingview.com/x/nI4sX1c9/" TargetMode="External"/><Relationship Id="rId246" Type="http://schemas.openxmlformats.org/officeDocument/2006/relationships/hyperlink" Target="https://www.tradingview.com/x/F6BvMlE5/" TargetMode="External"/><Relationship Id="rId124" Type="http://schemas.openxmlformats.org/officeDocument/2006/relationships/hyperlink" Target="https://www.tradingview.com/x/xo6KJeSU/" TargetMode="External"/><Relationship Id="rId245" Type="http://schemas.openxmlformats.org/officeDocument/2006/relationships/hyperlink" Target="https://www.tradingview.com/x/jmDgBRmv/" TargetMode="External"/><Relationship Id="rId123" Type="http://schemas.openxmlformats.org/officeDocument/2006/relationships/hyperlink" Target="https://www.tradingview.com/x/hthoGHip/" TargetMode="External"/><Relationship Id="rId244" Type="http://schemas.openxmlformats.org/officeDocument/2006/relationships/hyperlink" Target="https://www.tradingview.com/x/JU6nqhgY/" TargetMode="External"/><Relationship Id="rId122" Type="http://schemas.openxmlformats.org/officeDocument/2006/relationships/hyperlink" Target="https://www.tradingview.com/x/pDDyN9Jv/" TargetMode="External"/><Relationship Id="rId243" Type="http://schemas.openxmlformats.org/officeDocument/2006/relationships/hyperlink" Target="https://www.tradingview.com/x/5oEuF6dG/" TargetMode="External"/><Relationship Id="rId95" Type="http://schemas.openxmlformats.org/officeDocument/2006/relationships/hyperlink" Target="https://www.tradingview.com/x/u6BBSWQW/" TargetMode="External"/><Relationship Id="rId94" Type="http://schemas.openxmlformats.org/officeDocument/2006/relationships/hyperlink" Target="https://www.tradingview.com/x/MgFjvrYY/" TargetMode="External"/><Relationship Id="rId97" Type="http://schemas.openxmlformats.org/officeDocument/2006/relationships/hyperlink" Target="https://www.tradingview.com/x/FJ2M6hce/" TargetMode="External"/><Relationship Id="rId96" Type="http://schemas.openxmlformats.org/officeDocument/2006/relationships/hyperlink" Target="https://www.tradingview.com/x/7SqeuW07/" TargetMode="External"/><Relationship Id="rId99" Type="http://schemas.openxmlformats.org/officeDocument/2006/relationships/hyperlink" Target="https://www.tradingview.com/x/cpEQMVkc/" TargetMode="External"/><Relationship Id="rId98" Type="http://schemas.openxmlformats.org/officeDocument/2006/relationships/hyperlink" Target="https://www.tradingview.com/x/2x14agmq/" TargetMode="External"/><Relationship Id="rId91" Type="http://schemas.openxmlformats.org/officeDocument/2006/relationships/hyperlink" Target="https://www.tradingview.com/x/ie5wk0KV/" TargetMode="External"/><Relationship Id="rId90" Type="http://schemas.openxmlformats.org/officeDocument/2006/relationships/hyperlink" Target="https://www.tradingview.com/x/nVVbu7B1/" TargetMode="External"/><Relationship Id="rId93" Type="http://schemas.openxmlformats.org/officeDocument/2006/relationships/hyperlink" Target="https://www.tradingview.com/x/9tIvy6Kc/" TargetMode="External"/><Relationship Id="rId92" Type="http://schemas.openxmlformats.org/officeDocument/2006/relationships/hyperlink" Target="https://www.tradingview.com/x/EAxpnqKF/" TargetMode="External"/><Relationship Id="rId118" Type="http://schemas.openxmlformats.org/officeDocument/2006/relationships/hyperlink" Target="https://www.tradingview.com/x/1rZnv5P5/" TargetMode="External"/><Relationship Id="rId239" Type="http://schemas.openxmlformats.org/officeDocument/2006/relationships/hyperlink" Target="https://www.tradingview.com/x/p0Asz1d2/" TargetMode="External"/><Relationship Id="rId117" Type="http://schemas.openxmlformats.org/officeDocument/2006/relationships/hyperlink" Target="https://www.tradingview.com/x/2Fve4KfQ/" TargetMode="External"/><Relationship Id="rId238" Type="http://schemas.openxmlformats.org/officeDocument/2006/relationships/hyperlink" Target="https://www.tradingview.com/x/3GZjNoip/" TargetMode="External"/><Relationship Id="rId116" Type="http://schemas.openxmlformats.org/officeDocument/2006/relationships/hyperlink" Target="https://www.tradingview.com/x/GUJK0XJt/" TargetMode="External"/><Relationship Id="rId237" Type="http://schemas.openxmlformats.org/officeDocument/2006/relationships/hyperlink" Target="https://www.tradingview.com/x/P5pD0xO6/" TargetMode="External"/><Relationship Id="rId115" Type="http://schemas.openxmlformats.org/officeDocument/2006/relationships/hyperlink" Target="https://www.tradingview.com/x/RLgUVfaH/" TargetMode="External"/><Relationship Id="rId236" Type="http://schemas.openxmlformats.org/officeDocument/2006/relationships/hyperlink" Target="https://www.tradingview.com/x/4RRAcTq2/" TargetMode="External"/><Relationship Id="rId119" Type="http://schemas.openxmlformats.org/officeDocument/2006/relationships/hyperlink" Target="https://www.tradingview.com/x/oAGzuevW/" TargetMode="External"/><Relationship Id="rId110" Type="http://schemas.openxmlformats.org/officeDocument/2006/relationships/hyperlink" Target="https://www.tradingview.com/x/HNzJVe7Y/" TargetMode="External"/><Relationship Id="rId231" Type="http://schemas.openxmlformats.org/officeDocument/2006/relationships/hyperlink" Target="https://www.tradingview.com/x/igXmjOZ2/" TargetMode="External"/><Relationship Id="rId230" Type="http://schemas.openxmlformats.org/officeDocument/2006/relationships/hyperlink" Target="https://www.tradingview.com/x/lowbq4bw/" TargetMode="External"/><Relationship Id="rId114" Type="http://schemas.openxmlformats.org/officeDocument/2006/relationships/hyperlink" Target="https://www.tradingview.com/x/2x0bKUxU/" TargetMode="External"/><Relationship Id="rId235" Type="http://schemas.openxmlformats.org/officeDocument/2006/relationships/hyperlink" Target="https://www.tradingview.com/x/5RsYTiU1/" TargetMode="External"/><Relationship Id="rId113" Type="http://schemas.openxmlformats.org/officeDocument/2006/relationships/hyperlink" Target="https://www.tradingview.com/x/0WbK6X65/" TargetMode="External"/><Relationship Id="rId234" Type="http://schemas.openxmlformats.org/officeDocument/2006/relationships/hyperlink" Target="https://www.tradingview.com/x/ATWbydmX/" TargetMode="External"/><Relationship Id="rId112" Type="http://schemas.openxmlformats.org/officeDocument/2006/relationships/hyperlink" Target="https://www.tradingview.com/x/9Y2OmGG5/" TargetMode="External"/><Relationship Id="rId233" Type="http://schemas.openxmlformats.org/officeDocument/2006/relationships/hyperlink" Target="https://www.tradingview.com/x/euclBH33/" TargetMode="External"/><Relationship Id="rId111" Type="http://schemas.openxmlformats.org/officeDocument/2006/relationships/hyperlink" Target="https://www.tradingview.com/x/Ghx6OG4b/" TargetMode="External"/><Relationship Id="rId232" Type="http://schemas.openxmlformats.org/officeDocument/2006/relationships/hyperlink" Target="https://www.tradingview.com/x/EeYxdQFB/" TargetMode="External"/><Relationship Id="rId206" Type="http://schemas.openxmlformats.org/officeDocument/2006/relationships/hyperlink" Target="https://www.tradingview.com/x/4CzzbyIm/" TargetMode="External"/><Relationship Id="rId205" Type="http://schemas.openxmlformats.org/officeDocument/2006/relationships/hyperlink" Target="https://www.tradingview.com/x/OcMFdJQQ/" TargetMode="External"/><Relationship Id="rId204" Type="http://schemas.openxmlformats.org/officeDocument/2006/relationships/hyperlink" Target="https://www.tradingview.com/x/JXhop7uV/" TargetMode="External"/><Relationship Id="rId203" Type="http://schemas.openxmlformats.org/officeDocument/2006/relationships/hyperlink" Target="https://www.tradingview.com/x/WJoDq59h/" TargetMode="External"/><Relationship Id="rId209" Type="http://schemas.openxmlformats.org/officeDocument/2006/relationships/hyperlink" Target="https://www.tradingview.com/x/VmMs7AmB/" TargetMode="External"/><Relationship Id="rId208" Type="http://schemas.openxmlformats.org/officeDocument/2006/relationships/hyperlink" Target="https://www.tradingview.com/x/P2L8xITL/" TargetMode="External"/><Relationship Id="rId207" Type="http://schemas.openxmlformats.org/officeDocument/2006/relationships/hyperlink" Target="https://www.tradingview.com/x/nzlQC2DW/" TargetMode="External"/><Relationship Id="rId202" Type="http://schemas.openxmlformats.org/officeDocument/2006/relationships/hyperlink" Target="https://www.tradingview.com/x/2VDGmdis/" TargetMode="External"/><Relationship Id="rId201" Type="http://schemas.openxmlformats.org/officeDocument/2006/relationships/hyperlink" Target="https://www.tradingview.com/x/4yCjqjR3/" TargetMode="External"/><Relationship Id="rId200" Type="http://schemas.openxmlformats.org/officeDocument/2006/relationships/hyperlink" Target="https://www.tradingview.com/x/ejyGdlH7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28.75"/>
  </cols>
  <sheetData>
    <row r="1">
      <c r="A1" s="1" t="s">
        <v>0</v>
      </c>
      <c r="B1" s="2" t="s">
        <v>1</v>
      </c>
      <c r="F1" s="2" t="s">
        <v>2</v>
      </c>
    </row>
    <row r="2">
      <c r="A2" s="1" t="s">
        <v>3</v>
      </c>
      <c r="B2" s="2" t="s">
        <v>4</v>
      </c>
      <c r="F2" s="2" t="s">
        <v>5</v>
      </c>
    </row>
    <row r="3">
      <c r="A3" s="1" t="s">
        <v>6</v>
      </c>
      <c r="B3" s="2" t="s">
        <v>7</v>
      </c>
      <c r="F3" s="2" t="s">
        <v>8</v>
      </c>
    </row>
    <row r="4">
      <c r="A4" s="1" t="s">
        <v>9</v>
      </c>
      <c r="B4" s="2" t="s">
        <v>10</v>
      </c>
    </row>
    <row r="5">
      <c r="A5" s="1" t="s">
        <v>11</v>
      </c>
      <c r="B5" s="2" t="s">
        <v>12</v>
      </c>
    </row>
    <row r="6">
      <c r="A6" s="1" t="s">
        <v>13</v>
      </c>
      <c r="B6" s="2" t="s">
        <v>14</v>
      </c>
    </row>
    <row r="7">
      <c r="A7" s="1" t="s">
        <v>15</v>
      </c>
      <c r="B7" s="2" t="s">
        <v>16</v>
      </c>
    </row>
    <row r="8">
      <c r="A8" s="1" t="s">
        <v>17</v>
      </c>
      <c r="B8" s="2" t="s">
        <v>18</v>
      </c>
    </row>
    <row r="9">
      <c r="A9" s="1" t="s">
        <v>19</v>
      </c>
      <c r="B9" s="2" t="s">
        <v>20</v>
      </c>
    </row>
    <row r="10">
      <c r="A10" s="1" t="s">
        <v>21</v>
      </c>
      <c r="B10" s="2" t="s">
        <v>22</v>
      </c>
    </row>
    <row r="11">
      <c r="A11" s="1" t="s">
        <v>23</v>
      </c>
      <c r="B11" s="2" t="s">
        <v>24</v>
      </c>
    </row>
    <row r="12">
      <c r="A12" s="1" t="s">
        <v>25</v>
      </c>
      <c r="B12" s="2" t="s">
        <v>26</v>
      </c>
    </row>
    <row r="13">
      <c r="A13" s="1" t="s">
        <v>27</v>
      </c>
      <c r="B13" s="2" t="s">
        <v>28</v>
      </c>
    </row>
    <row r="14">
      <c r="A14" s="1" t="s">
        <v>29</v>
      </c>
      <c r="B14" s="2" t="s">
        <v>30</v>
      </c>
    </row>
    <row r="15">
      <c r="A15" s="1" t="s">
        <v>31</v>
      </c>
      <c r="B15" s="2" t="s">
        <v>32</v>
      </c>
    </row>
    <row r="16">
      <c r="A16" s="1" t="s">
        <v>33</v>
      </c>
      <c r="B16" s="2" t="s">
        <v>34</v>
      </c>
    </row>
    <row r="17">
      <c r="A17" s="1" t="s">
        <v>35</v>
      </c>
      <c r="B17" s="2" t="s">
        <v>36</v>
      </c>
    </row>
    <row r="18">
      <c r="A18" s="1" t="s">
        <v>37</v>
      </c>
      <c r="B18" s="2" t="s">
        <v>38</v>
      </c>
    </row>
    <row r="19">
      <c r="A19" s="1" t="s">
        <v>39</v>
      </c>
      <c r="B19" s="2" t="s">
        <v>40</v>
      </c>
    </row>
    <row r="20">
      <c r="A20" s="1" t="s">
        <v>41</v>
      </c>
      <c r="B20" s="2" t="s">
        <v>42</v>
      </c>
    </row>
    <row r="21">
      <c r="A21" s="1" t="s">
        <v>43</v>
      </c>
      <c r="B21" s="2" t="s">
        <v>44</v>
      </c>
    </row>
    <row r="22">
      <c r="A22" s="1" t="s">
        <v>45</v>
      </c>
      <c r="B22" s="2" t="s">
        <v>46</v>
      </c>
    </row>
    <row r="23">
      <c r="A23" s="1" t="s">
        <v>47</v>
      </c>
      <c r="B23" s="2" t="s">
        <v>48</v>
      </c>
    </row>
    <row r="24">
      <c r="A24" s="1" t="s">
        <v>49</v>
      </c>
      <c r="B24" s="2" t="s">
        <v>50</v>
      </c>
    </row>
    <row r="25">
      <c r="A25" s="1" t="s">
        <v>51</v>
      </c>
      <c r="B25" s="2" t="s">
        <v>52</v>
      </c>
    </row>
    <row r="26">
      <c r="A26" s="1" t="s">
        <v>53</v>
      </c>
      <c r="B26" s="2" t="s">
        <v>54</v>
      </c>
    </row>
    <row r="27">
      <c r="A27" s="1" t="s">
        <v>55</v>
      </c>
      <c r="B27" s="2" t="s">
        <v>56</v>
      </c>
    </row>
    <row r="28">
      <c r="A28" s="1" t="s">
        <v>57</v>
      </c>
      <c r="B28" s="2" t="s">
        <v>58</v>
      </c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3" max="15" width="12.63"/>
    <col customWidth="1" min="24" max="25" width="13.38"/>
    <col customWidth="1" min="26" max="26" width="9.75"/>
    <col customWidth="1" min="28" max="29" width="15.38"/>
  </cols>
  <sheetData>
    <row r="1">
      <c r="A1" s="1" t="s">
        <v>0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39</v>
      </c>
      <c r="J1" s="1" t="s">
        <v>33</v>
      </c>
      <c r="K1" s="1" t="s">
        <v>35</v>
      </c>
      <c r="L1" s="1" t="s">
        <v>37</v>
      </c>
      <c r="M1" s="1" t="s">
        <v>59</v>
      </c>
      <c r="N1" s="1" t="s">
        <v>60</v>
      </c>
      <c r="O1" s="1" t="s">
        <v>61</v>
      </c>
      <c r="P1" s="1" t="s">
        <v>53</v>
      </c>
      <c r="Q1" s="1" t="s">
        <v>55</v>
      </c>
      <c r="R1" s="1" t="s">
        <v>57</v>
      </c>
      <c r="S1" s="1" t="s">
        <v>45</v>
      </c>
      <c r="T1" s="1" t="s">
        <v>47</v>
      </c>
      <c r="U1" s="1" t="s">
        <v>49</v>
      </c>
      <c r="V1" s="1" t="s">
        <v>51</v>
      </c>
      <c r="W1" s="1" t="s">
        <v>21</v>
      </c>
      <c r="X1" s="1" t="s">
        <v>23</v>
      </c>
      <c r="Y1" s="1" t="s">
        <v>25</v>
      </c>
      <c r="Z1" s="1" t="s">
        <v>27</v>
      </c>
      <c r="AA1" s="1" t="s">
        <v>29</v>
      </c>
      <c r="AB1" s="1" t="s">
        <v>31</v>
      </c>
      <c r="AC1" s="1" t="s">
        <v>62</v>
      </c>
      <c r="AD1" s="1" t="s">
        <v>63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>
      <c r="A2" s="2" t="s">
        <v>64</v>
      </c>
      <c r="B2" s="4">
        <v>45660.0</v>
      </c>
      <c r="C2" s="5">
        <v>0.2604166666666667</v>
      </c>
      <c r="D2" s="5">
        <v>0.2708333333333333</v>
      </c>
      <c r="E2" s="2" t="s">
        <v>65</v>
      </c>
      <c r="F2" s="2" t="s">
        <v>66</v>
      </c>
      <c r="G2" s="2" t="s">
        <v>67</v>
      </c>
      <c r="H2" s="2" t="s">
        <v>68</v>
      </c>
      <c r="I2" s="6" t="s">
        <v>69</v>
      </c>
      <c r="J2" s="4">
        <v>45660.0</v>
      </c>
      <c r="K2" s="5">
        <v>0.20833333333333334</v>
      </c>
      <c r="L2" s="6">
        <v>2662.16</v>
      </c>
      <c r="M2" s="6"/>
      <c r="N2" s="6"/>
      <c r="O2" s="6"/>
      <c r="P2" s="6">
        <v>2657.94</v>
      </c>
      <c r="Q2" s="6">
        <v>1.0</v>
      </c>
      <c r="R2" s="6">
        <v>4.0</v>
      </c>
      <c r="S2" s="6">
        <v>2662.7</v>
      </c>
      <c r="T2" s="6">
        <v>2662.8</v>
      </c>
      <c r="U2" s="6">
        <v>2660.98</v>
      </c>
      <c r="V2" s="6">
        <v>2661.34</v>
      </c>
      <c r="W2" s="2" t="s">
        <v>70</v>
      </c>
      <c r="X2" s="7">
        <v>0.01</v>
      </c>
      <c r="Y2" s="6">
        <v>0.3</v>
      </c>
      <c r="Z2" s="6">
        <v>2.32</v>
      </c>
      <c r="AA2" s="8" t="s">
        <v>71</v>
      </c>
      <c r="AB2" s="8" t="s">
        <v>72</v>
      </c>
      <c r="AC2" s="8" t="s">
        <v>73</v>
      </c>
      <c r="AD2" s="2" t="s">
        <v>74</v>
      </c>
    </row>
    <row r="3">
      <c r="A3" s="2" t="s">
        <v>64</v>
      </c>
      <c r="B3" s="4">
        <v>45660.0</v>
      </c>
      <c r="C3" s="5">
        <v>0.5625</v>
      </c>
      <c r="D3" s="5">
        <v>0.59375</v>
      </c>
      <c r="E3" s="2" t="s">
        <v>65</v>
      </c>
      <c r="F3" s="2" t="s">
        <v>66</v>
      </c>
      <c r="G3" s="2" t="s">
        <v>75</v>
      </c>
      <c r="H3" s="2" t="s">
        <v>68</v>
      </c>
      <c r="I3" s="6" t="s">
        <v>69</v>
      </c>
      <c r="J3" s="4">
        <v>45660.0</v>
      </c>
      <c r="K3" s="5">
        <v>0.5208333333333334</v>
      </c>
      <c r="L3" s="6">
        <v>2656.7</v>
      </c>
      <c r="M3" s="6"/>
      <c r="N3" s="6"/>
      <c r="O3" s="6"/>
      <c r="P3" s="6">
        <v>2652.46</v>
      </c>
      <c r="Q3" s="6">
        <v>1.0</v>
      </c>
      <c r="R3" s="6">
        <v>1.0</v>
      </c>
      <c r="S3" s="6">
        <v>2657.81</v>
      </c>
      <c r="T3" s="6">
        <v>2657.86</v>
      </c>
      <c r="U3" s="6">
        <v>2655.23</v>
      </c>
      <c r="V3" s="6">
        <v>2655.6</v>
      </c>
      <c r="W3" s="2" t="s">
        <v>70</v>
      </c>
      <c r="X3" s="7">
        <v>0.01</v>
      </c>
      <c r="Y3" s="6">
        <v>17.7</v>
      </c>
      <c r="Z3" s="6">
        <v>1.39</v>
      </c>
      <c r="AA3" s="8" t="s">
        <v>71</v>
      </c>
      <c r="AC3" s="8" t="s">
        <v>76</v>
      </c>
      <c r="AD3" s="2" t="s">
        <v>77</v>
      </c>
    </row>
    <row r="4">
      <c r="A4" s="2" t="s">
        <v>64</v>
      </c>
      <c r="B4" s="4">
        <v>45663.0</v>
      </c>
      <c r="C4" s="5">
        <v>0.28125</v>
      </c>
      <c r="D4" s="5">
        <v>0.2916666666666667</v>
      </c>
      <c r="E4" s="2" t="s">
        <v>65</v>
      </c>
      <c r="F4" s="2" t="s">
        <v>78</v>
      </c>
      <c r="G4" s="2" t="s">
        <v>67</v>
      </c>
      <c r="H4" s="2" t="s">
        <v>68</v>
      </c>
      <c r="I4" s="6" t="s">
        <v>79</v>
      </c>
      <c r="J4" s="4">
        <v>45659.0</v>
      </c>
      <c r="K4" s="5">
        <v>0.3958333333333333</v>
      </c>
      <c r="L4" s="6">
        <v>2633.15</v>
      </c>
      <c r="M4" s="6"/>
      <c r="N4" s="6"/>
      <c r="O4" s="6"/>
      <c r="P4" s="6" t="s">
        <v>80</v>
      </c>
      <c r="Q4" s="6">
        <v>1.0</v>
      </c>
      <c r="R4" s="6" t="s">
        <v>80</v>
      </c>
      <c r="S4" s="6">
        <v>2634.87</v>
      </c>
      <c r="T4" s="6">
        <v>2632.17</v>
      </c>
      <c r="U4" s="6">
        <v>2632.17</v>
      </c>
      <c r="V4" s="6">
        <v>2632.85</v>
      </c>
      <c r="W4" s="2" t="s">
        <v>81</v>
      </c>
      <c r="X4" s="7">
        <v>-0.01</v>
      </c>
      <c r="Y4" s="6" t="s">
        <v>80</v>
      </c>
      <c r="Z4" s="6">
        <v>0.71</v>
      </c>
      <c r="AA4" s="8" t="s">
        <v>82</v>
      </c>
      <c r="AB4" s="8" t="s">
        <v>83</v>
      </c>
      <c r="AC4" s="8" t="s">
        <v>84</v>
      </c>
    </row>
    <row r="5">
      <c r="A5" s="2" t="s">
        <v>64</v>
      </c>
      <c r="B5" s="4">
        <v>45663.0</v>
      </c>
      <c r="C5" s="5">
        <v>0.6041666666666666</v>
      </c>
      <c r="D5" s="5">
        <v>0.6145833333333334</v>
      </c>
      <c r="E5" s="2" t="s">
        <v>65</v>
      </c>
      <c r="F5" s="2" t="s">
        <v>78</v>
      </c>
      <c r="G5" s="2" t="s">
        <v>75</v>
      </c>
      <c r="H5" s="2" t="s">
        <v>68</v>
      </c>
      <c r="I5" s="6" t="s">
        <v>79</v>
      </c>
      <c r="J5" s="4">
        <v>45663.0</v>
      </c>
      <c r="K5" s="5">
        <v>0.5625</v>
      </c>
      <c r="L5" s="6">
        <v>2642.33</v>
      </c>
      <c r="M5" s="6"/>
      <c r="N5" s="6"/>
      <c r="O5" s="6"/>
      <c r="P5" s="6">
        <v>2626.73</v>
      </c>
      <c r="Q5" s="6">
        <v>0.0</v>
      </c>
      <c r="R5" s="6">
        <v>0.0</v>
      </c>
      <c r="S5" s="6">
        <v>2645.85</v>
      </c>
      <c r="T5" s="6">
        <v>2646.24</v>
      </c>
      <c r="U5" s="6">
        <v>2641.8</v>
      </c>
      <c r="V5" s="6">
        <v>2642.28</v>
      </c>
      <c r="W5" s="2" t="s">
        <v>70</v>
      </c>
      <c r="X5" s="7">
        <v>0.01</v>
      </c>
      <c r="Y5" s="6">
        <v>2.4</v>
      </c>
      <c r="Z5" s="6">
        <v>3.92</v>
      </c>
      <c r="AA5" s="8" t="s">
        <v>85</v>
      </c>
      <c r="AB5" s="8" t="s">
        <v>86</v>
      </c>
      <c r="AC5" s="8" t="s">
        <v>87</v>
      </c>
      <c r="AD5" s="2" t="s">
        <v>88</v>
      </c>
    </row>
    <row r="6">
      <c r="A6" s="2" t="s">
        <v>64</v>
      </c>
      <c r="B6" s="4">
        <v>45664.0</v>
      </c>
      <c r="C6" s="5">
        <v>0.53125</v>
      </c>
      <c r="D6" s="5">
        <v>0.5416666666666666</v>
      </c>
      <c r="E6" s="2" t="s">
        <v>89</v>
      </c>
      <c r="F6" s="2" t="s">
        <v>90</v>
      </c>
      <c r="G6" s="2" t="s">
        <v>75</v>
      </c>
      <c r="H6" s="2" t="s">
        <v>68</v>
      </c>
      <c r="I6" s="6" t="s">
        <v>69</v>
      </c>
      <c r="J6" s="4">
        <v>45663.0</v>
      </c>
      <c r="K6" s="5">
        <v>0.5416666666666666</v>
      </c>
      <c r="L6" s="6">
        <v>2645.53</v>
      </c>
      <c r="M6" s="6"/>
      <c r="N6" s="6"/>
      <c r="O6" s="6"/>
      <c r="P6" s="6">
        <v>2649.73</v>
      </c>
      <c r="Q6" s="6">
        <v>5.0</v>
      </c>
      <c r="R6" s="6">
        <v>1.0</v>
      </c>
      <c r="S6" s="6">
        <v>2645.43</v>
      </c>
      <c r="T6" s="6">
        <v>2646.67</v>
      </c>
      <c r="U6" s="6">
        <v>2644.54</v>
      </c>
      <c r="V6" s="6">
        <v>2646.57</v>
      </c>
      <c r="W6" s="2" t="s">
        <v>70</v>
      </c>
      <c r="X6" s="7">
        <v>0.01</v>
      </c>
      <c r="Y6" s="6">
        <v>1.9</v>
      </c>
      <c r="Z6" s="6">
        <v>1.55</v>
      </c>
      <c r="AA6" s="8" t="s">
        <v>91</v>
      </c>
      <c r="AB6" s="8" t="s">
        <v>92</v>
      </c>
      <c r="AC6" s="8" t="s">
        <v>93</v>
      </c>
      <c r="AD6" s="2" t="s">
        <v>94</v>
      </c>
    </row>
    <row r="7">
      <c r="A7" s="2" t="s">
        <v>64</v>
      </c>
      <c r="B7" s="4">
        <v>45665.0</v>
      </c>
      <c r="C7" s="5">
        <v>0.3020833333333333</v>
      </c>
      <c r="D7" s="5">
        <v>0.3229166666666667</v>
      </c>
      <c r="E7" s="2" t="s">
        <v>89</v>
      </c>
      <c r="F7" s="2" t="s">
        <v>95</v>
      </c>
      <c r="G7" s="2" t="s">
        <v>67</v>
      </c>
      <c r="H7" s="2" t="s">
        <v>68</v>
      </c>
      <c r="I7" s="6" t="s">
        <v>69</v>
      </c>
      <c r="J7" s="4">
        <v>45665.0</v>
      </c>
      <c r="K7" s="5">
        <v>0.0625</v>
      </c>
      <c r="L7" s="6">
        <v>2650.81</v>
      </c>
      <c r="M7" s="6"/>
      <c r="N7" s="6"/>
      <c r="O7" s="6"/>
      <c r="P7" s="6">
        <v>2654.82</v>
      </c>
      <c r="Q7" s="6">
        <v>1.0</v>
      </c>
      <c r="R7" s="6">
        <v>0.0</v>
      </c>
      <c r="S7" s="6">
        <v>2650.04</v>
      </c>
      <c r="T7" s="6">
        <v>2651.31</v>
      </c>
      <c r="U7" s="6">
        <v>2648.95</v>
      </c>
      <c r="V7" s="6">
        <v>2650.93</v>
      </c>
      <c r="W7" s="2" t="s">
        <v>70</v>
      </c>
      <c r="X7" s="7">
        <v>0.01</v>
      </c>
      <c r="Y7" s="6">
        <v>4.9</v>
      </c>
      <c r="Z7" s="6">
        <v>1.71</v>
      </c>
      <c r="AA7" s="8" t="s">
        <v>96</v>
      </c>
      <c r="AB7" s="8" t="s">
        <v>97</v>
      </c>
      <c r="AC7" s="8" t="s">
        <v>98</v>
      </c>
    </row>
    <row r="8">
      <c r="A8" s="2" t="s">
        <v>64</v>
      </c>
      <c r="B8" s="4">
        <v>45665.0</v>
      </c>
      <c r="C8" s="5">
        <v>0.5833333333333334</v>
      </c>
      <c r="D8" s="5">
        <v>0.59375</v>
      </c>
      <c r="E8" s="2" t="s">
        <v>89</v>
      </c>
      <c r="F8" s="2" t="s">
        <v>95</v>
      </c>
      <c r="G8" s="2" t="s">
        <v>75</v>
      </c>
      <c r="H8" s="2" t="s">
        <v>68</v>
      </c>
      <c r="I8" s="6" t="s">
        <v>69</v>
      </c>
      <c r="J8" s="4">
        <v>45665.0</v>
      </c>
      <c r="K8" s="5">
        <v>0.5416666666666666</v>
      </c>
      <c r="L8" s="6">
        <v>2650.79</v>
      </c>
      <c r="M8" s="6"/>
      <c r="N8" s="6"/>
      <c r="O8" s="6"/>
      <c r="P8" s="6">
        <v>2654.82</v>
      </c>
      <c r="Q8" s="6">
        <v>1.0</v>
      </c>
      <c r="R8" s="6">
        <v>4.0</v>
      </c>
      <c r="S8" s="6">
        <v>2650.24</v>
      </c>
      <c r="T8" s="6">
        <v>2652.42</v>
      </c>
      <c r="U8" s="6">
        <v>2650.19</v>
      </c>
      <c r="V8" s="6">
        <v>2651.94</v>
      </c>
      <c r="W8" s="2" t="s">
        <v>70</v>
      </c>
      <c r="X8" s="7">
        <v>0.01</v>
      </c>
      <c r="Y8" s="6">
        <v>4.3</v>
      </c>
      <c r="Z8" s="6">
        <v>1.65</v>
      </c>
      <c r="AA8" s="8" t="s">
        <v>99</v>
      </c>
      <c r="AB8" s="8" t="s">
        <v>100</v>
      </c>
      <c r="AC8" s="8" t="s">
        <v>101</v>
      </c>
      <c r="AD8" s="2" t="s">
        <v>102</v>
      </c>
    </row>
    <row r="9">
      <c r="A9" s="2" t="s">
        <v>64</v>
      </c>
      <c r="B9" s="4">
        <v>45666.0</v>
      </c>
      <c r="C9" s="5">
        <v>0.3125</v>
      </c>
      <c r="D9" s="5">
        <v>0.3229166666666667</v>
      </c>
      <c r="E9" s="2" t="s">
        <v>89</v>
      </c>
      <c r="F9" s="2" t="s">
        <v>103</v>
      </c>
      <c r="G9" s="2" t="s">
        <v>67</v>
      </c>
      <c r="H9" s="2" t="s">
        <v>68</v>
      </c>
      <c r="I9" s="6" t="s">
        <v>69</v>
      </c>
      <c r="J9" s="4">
        <v>45666.0</v>
      </c>
      <c r="K9" s="5">
        <v>0.1875</v>
      </c>
      <c r="L9" s="6">
        <v>2659.92</v>
      </c>
      <c r="M9" s="6"/>
      <c r="N9" s="6"/>
      <c r="O9" s="6"/>
      <c r="P9" s="6">
        <v>2663.37</v>
      </c>
      <c r="Q9" s="6">
        <v>2.0</v>
      </c>
      <c r="R9" s="6">
        <v>0.0</v>
      </c>
      <c r="S9" s="6">
        <v>2658.93</v>
      </c>
      <c r="T9" s="6">
        <v>2660.89</v>
      </c>
      <c r="U9" s="6">
        <v>2658.66</v>
      </c>
      <c r="V9" s="6">
        <v>2660.75</v>
      </c>
      <c r="W9" s="2" t="s">
        <v>70</v>
      </c>
      <c r="X9" s="7">
        <v>0.01</v>
      </c>
      <c r="Y9" s="6">
        <v>4.1</v>
      </c>
      <c r="Z9" s="6">
        <v>1.26</v>
      </c>
      <c r="AA9" s="8" t="s">
        <v>104</v>
      </c>
      <c r="AB9" s="8" t="s">
        <v>105</v>
      </c>
      <c r="AC9" s="8" t="s">
        <v>106</v>
      </c>
      <c r="AD9" s="2" t="s">
        <v>107</v>
      </c>
    </row>
    <row r="10">
      <c r="A10" s="2" t="s">
        <v>64</v>
      </c>
      <c r="B10" s="4">
        <v>45666.0</v>
      </c>
      <c r="C10" s="5">
        <v>0.5729166666666666</v>
      </c>
      <c r="D10" s="5">
        <v>0.5833333333333334</v>
      </c>
      <c r="E10" s="2" t="s">
        <v>89</v>
      </c>
      <c r="F10" s="2" t="s">
        <v>103</v>
      </c>
      <c r="G10" s="2" t="s">
        <v>75</v>
      </c>
      <c r="H10" s="2" t="s">
        <v>68</v>
      </c>
      <c r="I10" s="6" t="s">
        <v>69</v>
      </c>
      <c r="J10" s="4">
        <v>45639.0</v>
      </c>
      <c r="K10" s="5">
        <v>0.5104166666666666</v>
      </c>
      <c r="L10" s="6">
        <v>2672.25</v>
      </c>
      <c r="M10" s="6"/>
      <c r="N10" s="6"/>
      <c r="O10" s="6"/>
      <c r="P10" s="6">
        <v>2683.44</v>
      </c>
      <c r="Q10" s="6">
        <v>0.0</v>
      </c>
      <c r="R10" s="6">
        <v>0.0</v>
      </c>
      <c r="S10" s="6">
        <v>2672.12</v>
      </c>
      <c r="T10" s="6">
        <v>2674.46</v>
      </c>
      <c r="U10" s="6">
        <v>2671.66</v>
      </c>
      <c r="V10" s="6">
        <v>2672.75</v>
      </c>
      <c r="W10" s="2" t="s">
        <v>81</v>
      </c>
      <c r="X10" s="7">
        <v>-0.01</v>
      </c>
      <c r="Y10" s="6" t="s">
        <v>80</v>
      </c>
      <c r="Z10" s="6" t="s">
        <v>80</v>
      </c>
      <c r="AA10" s="8" t="s">
        <v>108</v>
      </c>
      <c r="AB10" s="8" t="s">
        <v>109</v>
      </c>
      <c r="AC10" s="8" t="s">
        <v>110</v>
      </c>
      <c r="AD10" s="2" t="s">
        <v>111</v>
      </c>
    </row>
    <row r="11">
      <c r="A11" s="2" t="s">
        <v>64</v>
      </c>
      <c r="B11" s="4">
        <v>45667.0</v>
      </c>
      <c r="C11" s="5">
        <v>0.28125</v>
      </c>
      <c r="D11" s="5">
        <v>0.3229166666666667</v>
      </c>
      <c r="E11" s="2" t="s">
        <v>89</v>
      </c>
      <c r="F11" s="2" t="s">
        <v>66</v>
      </c>
      <c r="G11" s="2" t="s">
        <v>67</v>
      </c>
      <c r="H11" s="2" t="s">
        <v>68</v>
      </c>
      <c r="I11" s="6" t="s">
        <v>69</v>
      </c>
      <c r="J11" s="4">
        <v>45666.0</v>
      </c>
      <c r="K11" s="5">
        <v>0.6041666666666666</v>
      </c>
      <c r="L11" s="6">
        <v>2674.96</v>
      </c>
      <c r="M11" s="6"/>
      <c r="N11" s="6"/>
      <c r="O11" s="6"/>
      <c r="P11" s="6">
        <v>2683.44</v>
      </c>
      <c r="Q11" s="6">
        <v>3.0</v>
      </c>
      <c r="R11" s="6">
        <v>0.0</v>
      </c>
      <c r="S11" s="6">
        <v>2674.0</v>
      </c>
      <c r="T11" s="6">
        <v>2675.82</v>
      </c>
      <c r="U11" s="6">
        <v>2672.84</v>
      </c>
      <c r="V11" s="6">
        <v>2675.2</v>
      </c>
      <c r="W11" s="2" t="s">
        <v>70</v>
      </c>
      <c r="X11" s="7">
        <v>0.01</v>
      </c>
      <c r="Y11" s="6">
        <v>13.1</v>
      </c>
      <c r="Z11" s="6">
        <v>3.28</v>
      </c>
      <c r="AA11" s="8" t="s">
        <v>112</v>
      </c>
      <c r="AB11" s="8" t="s">
        <v>113</v>
      </c>
      <c r="AC11" s="8" t="s">
        <v>114</v>
      </c>
    </row>
    <row r="12">
      <c r="A12" s="2" t="s">
        <v>64</v>
      </c>
      <c r="B12" s="4">
        <v>45670.0</v>
      </c>
      <c r="C12" s="5">
        <v>0.375</v>
      </c>
      <c r="D12" s="5">
        <v>0.3854166666666667</v>
      </c>
      <c r="E12" s="2" t="s">
        <v>65</v>
      </c>
      <c r="F12" s="2" t="s">
        <v>78</v>
      </c>
      <c r="G12" s="2" t="s">
        <v>67</v>
      </c>
      <c r="H12" s="2" t="s">
        <v>68</v>
      </c>
      <c r="I12" s="6" t="s">
        <v>79</v>
      </c>
      <c r="J12" s="4">
        <v>45670.0</v>
      </c>
      <c r="K12" s="5">
        <v>0.2708333333333333</v>
      </c>
      <c r="L12" s="6">
        <v>2685.09</v>
      </c>
      <c r="M12" s="6"/>
      <c r="N12" s="6"/>
      <c r="O12" s="6"/>
      <c r="P12" s="6">
        <v>2680.47</v>
      </c>
      <c r="Q12" s="6">
        <v>1.0</v>
      </c>
      <c r="R12" s="6">
        <v>0.0</v>
      </c>
      <c r="S12" s="6">
        <v>2685.64</v>
      </c>
      <c r="T12" s="6">
        <v>2687.15</v>
      </c>
      <c r="U12" s="6">
        <v>2684.26</v>
      </c>
      <c r="V12" s="6">
        <v>2685.05</v>
      </c>
      <c r="W12" s="2" t="s">
        <v>81</v>
      </c>
      <c r="X12" s="7">
        <v>-0.01</v>
      </c>
      <c r="Y12" s="6" t="s">
        <v>80</v>
      </c>
      <c r="Z12" s="6">
        <v>0.17</v>
      </c>
      <c r="AA12" s="8" t="s">
        <v>115</v>
      </c>
      <c r="AB12" s="8" t="s">
        <v>116</v>
      </c>
      <c r="AC12" s="9" t="s">
        <v>117</v>
      </c>
    </row>
    <row r="13">
      <c r="A13" s="2" t="s">
        <v>64</v>
      </c>
      <c r="B13" s="4">
        <v>45691.0</v>
      </c>
      <c r="C13" s="5">
        <v>0.6354166666666666</v>
      </c>
      <c r="D13" s="5">
        <v>0.6458333333333334</v>
      </c>
      <c r="E13" s="2" t="s">
        <v>89</v>
      </c>
      <c r="F13" s="2" t="s">
        <v>78</v>
      </c>
      <c r="G13" s="2" t="s">
        <v>75</v>
      </c>
      <c r="H13" s="2" t="s">
        <v>68</v>
      </c>
      <c r="I13" s="6" t="s">
        <v>69</v>
      </c>
      <c r="J13" s="4">
        <v>45688.0</v>
      </c>
      <c r="K13" s="5">
        <v>0.6666666666666666</v>
      </c>
      <c r="L13" s="6">
        <v>2812.31</v>
      </c>
      <c r="M13" s="6"/>
      <c r="N13" s="6"/>
      <c r="O13" s="6"/>
      <c r="P13" s="6" t="s">
        <v>80</v>
      </c>
      <c r="Q13" s="6">
        <v>0.0</v>
      </c>
      <c r="R13" s="6" t="s">
        <v>80</v>
      </c>
      <c r="S13" s="6">
        <v>2810.89</v>
      </c>
      <c r="T13" s="6">
        <v>2814.65</v>
      </c>
      <c r="U13" s="6">
        <v>2809.98</v>
      </c>
      <c r="V13" s="6">
        <v>2814.23</v>
      </c>
      <c r="W13" s="2" t="s">
        <v>70</v>
      </c>
      <c r="X13" s="7">
        <v>0.01</v>
      </c>
      <c r="Y13" s="6">
        <v>10.2</v>
      </c>
      <c r="Z13" s="6">
        <v>3.84</v>
      </c>
      <c r="AA13" s="8" t="s">
        <v>118</v>
      </c>
      <c r="AB13" s="8" t="s">
        <v>119</v>
      </c>
      <c r="AC13" s="8" t="s">
        <v>120</v>
      </c>
    </row>
    <row r="14">
      <c r="A14" s="2" t="s">
        <v>64</v>
      </c>
      <c r="B14" s="4">
        <v>45692.0</v>
      </c>
      <c r="C14" s="5">
        <v>0.2604166666666667</v>
      </c>
      <c r="D14" s="5">
        <v>0.2916666666666667</v>
      </c>
      <c r="E14" s="2" t="s">
        <v>65</v>
      </c>
      <c r="F14" s="2" t="s">
        <v>90</v>
      </c>
      <c r="G14" s="2" t="s">
        <v>67</v>
      </c>
      <c r="H14" s="2" t="s">
        <v>68</v>
      </c>
      <c r="I14" s="6" t="s">
        <v>79</v>
      </c>
      <c r="J14" s="4">
        <v>45692.0</v>
      </c>
      <c r="K14" s="5">
        <v>0.14583333333333334</v>
      </c>
      <c r="L14" s="6">
        <v>2817.41</v>
      </c>
      <c r="M14" s="6"/>
      <c r="N14" s="6"/>
      <c r="P14" s="6">
        <v>2813.07</v>
      </c>
      <c r="Q14" s="6">
        <v>1.0</v>
      </c>
      <c r="R14" s="6">
        <v>0.0</v>
      </c>
      <c r="S14" s="6">
        <v>2818.9</v>
      </c>
      <c r="T14" s="6">
        <v>2819.07</v>
      </c>
      <c r="U14" s="6">
        <v>2813.28</v>
      </c>
      <c r="V14" s="6">
        <v>2816.49</v>
      </c>
      <c r="W14" s="2" t="s">
        <v>70</v>
      </c>
      <c r="X14" s="7">
        <v>0.01</v>
      </c>
      <c r="Y14" s="6">
        <v>11.8</v>
      </c>
      <c r="Z14" s="6">
        <v>1.33</v>
      </c>
      <c r="AA14" s="8" t="s">
        <v>121</v>
      </c>
      <c r="AB14" s="8" t="s">
        <v>122</v>
      </c>
      <c r="AC14" s="8" t="s">
        <v>123</v>
      </c>
      <c r="AD14" s="2" t="s">
        <v>124</v>
      </c>
    </row>
    <row r="15">
      <c r="A15" s="2" t="s">
        <v>64</v>
      </c>
      <c r="B15" s="4">
        <v>45692.0</v>
      </c>
      <c r="C15" s="5">
        <v>0.6458333333333334</v>
      </c>
      <c r="D15" s="5">
        <v>0.6666666666666666</v>
      </c>
      <c r="E15" s="2" t="s">
        <v>89</v>
      </c>
      <c r="F15" s="2" t="s">
        <v>90</v>
      </c>
      <c r="G15" s="2" t="s">
        <v>75</v>
      </c>
      <c r="H15" s="2" t="s">
        <v>68</v>
      </c>
      <c r="I15" s="6" t="s">
        <v>69</v>
      </c>
      <c r="J15" s="4">
        <v>45692.0</v>
      </c>
      <c r="K15" s="5">
        <v>0.6041666666666666</v>
      </c>
      <c r="L15" s="6">
        <v>2835.18</v>
      </c>
      <c r="M15" s="6"/>
      <c r="N15" s="6"/>
      <c r="O15" s="6"/>
      <c r="P15" s="6" t="s">
        <v>80</v>
      </c>
      <c r="Q15" s="6">
        <v>1.0</v>
      </c>
      <c r="R15" s="6" t="s">
        <v>80</v>
      </c>
      <c r="S15" s="6">
        <v>2832.67</v>
      </c>
      <c r="T15" s="6">
        <v>2837.91</v>
      </c>
      <c r="U15" s="6">
        <v>2831.73</v>
      </c>
      <c r="V15" s="6">
        <v>2837.22</v>
      </c>
      <c r="W15" s="2" t="s">
        <v>70</v>
      </c>
      <c r="X15" s="7">
        <v>0.01</v>
      </c>
      <c r="Y15" s="6">
        <v>13.8</v>
      </c>
      <c r="Z15" s="6">
        <v>1.46</v>
      </c>
      <c r="AA15" s="8" t="s">
        <v>125</v>
      </c>
      <c r="AB15" s="9" t="s">
        <v>126</v>
      </c>
      <c r="AC15" s="8" t="s">
        <v>127</v>
      </c>
    </row>
    <row r="16">
      <c r="A16" s="2" t="s">
        <v>64</v>
      </c>
      <c r="B16" s="4">
        <v>45693.0</v>
      </c>
      <c r="C16" s="5">
        <v>0.28125</v>
      </c>
      <c r="D16" s="5">
        <v>0.3020833333333333</v>
      </c>
      <c r="E16" s="2" t="s">
        <v>89</v>
      </c>
      <c r="F16" s="2" t="s">
        <v>95</v>
      </c>
      <c r="G16" s="2" t="s">
        <v>67</v>
      </c>
      <c r="H16" s="2" t="s">
        <v>68</v>
      </c>
      <c r="I16" s="6" t="s">
        <v>69</v>
      </c>
      <c r="J16" s="4">
        <v>45693.0</v>
      </c>
      <c r="K16" s="5">
        <v>0.22916666666666666</v>
      </c>
      <c r="L16" s="6">
        <v>2856.38</v>
      </c>
      <c r="M16" s="10"/>
      <c r="N16" s="10"/>
      <c r="O16" s="10"/>
      <c r="P16" s="6" t="s">
        <v>80</v>
      </c>
      <c r="Q16" s="6">
        <v>1.0</v>
      </c>
      <c r="R16" s="6" t="s">
        <v>80</v>
      </c>
      <c r="S16" s="6">
        <v>2856.02</v>
      </c>
      <c r="T16" s="6">
        <v>2858.97</v>
      </c>
      <c r="U16" s="6">
        <v>2855.27</v>
      </c>
      <c r="V16" s="6">
        <v>2857.97</v>
      </c>
      <c r="W16" s="2" t="s">
        <v>70</v>
      </c>
      <c r="X16" s="7">
        <v>0.01</v>
      </c>
      <c r="Y16" s="6">
        <v>9.0</v>
      </c>
      <c r="Z16" s="6">
        <v>1.43</v>
      </c>
      <c r="AA16" s="8" t="s">
        <v>128</v>
      </c>
      <c r="AB16" s="8" t="s">
        <v>129</v>
      </c>
      <c r="AC16" s="8" t="s">
        <v>130</v>
      </c>
    </row>
    <row r="17">
      <c r="A17" s="2" t="s">
        <v>64</v>
      </c>
      <c r="B17" s="4">
        <v>45693.0</v>
      </c>
      <c r="C17" s="5">
        <v>0.5729166666666666</v>
      </c>
      <c r="D17" s="5">
        <v>0.5833333333333334</v>
      </c>
      <c r="E17" s="2" t="s">
        <v>65</v>
      </c>
      <c r="F17" s="2" t="s">
        <v>95</v>
      </c>
      <c r="G17" s="2" t="s">
        <v>75</v>
      </c>
      <c r="H17" s="2" t="s">
        <v>68</v>
      </c>
      <c r="I17" s="6" t="s">
        <v>69</v>
      </c>
      <c r="J17" s="4">
        <v>45693.0</v>
      </c>
      <c r="K17" s="5">
        <v>0.5</v>
      </c>
      <c r="L17" s="6">
        <v>2867.72</v>
      </c>
      <c r="M17" s="10"/>
      <c r="N17" s="10"/>
      <c r="O17" s="10"/>
      <c r="P17" s="6">
        <v>2858.0</v>
      </c>
      <c r="Q17" s="6">
        <v>1.0</v>
      </c>
      <c r="R17" s="6">
        <v>0.0</v>
      </c>
      <c r="S17" s="6">
        <v>2869.01</v>
      </c>
      <c r="T17" s="6">
        <v>2870.26</v>
      </c>
      <c r="U17" s="6">
        <v>2867.04</v>
      </c>
      <c r="V17" s="6">
        <v>2867.37</v>
      </c>
      <c r="W17" s="2" t="s">
        <v>81</v>
      </c>
      <c r="X17" s="7">
        <v>-0.01</v>
      </c>
      <c r="Y17" s="6" t="s">
        <v>80</v>
      </c>
      <c r="Z17" s="6">
        <v>0.13</v>
      </c>
      <c r="AA17" s="8" t="s">
        <v>131</v>
      </c>
      <c r="AB17" s="8" t="s">
        <v>132</v>
      </c>
      <c r="AC17" s="8" t="s">
        <v>133</v>
      </c>
    </row>
    <row r="18">
      <c r="A18" s="2" t="s">
        <v>64</v>
      </c>
      <c r="B18" s="4">
        <v>45694.0</v>
      </c>
      <c r="C18" s="5">
        <v>0.375</v>
      </c>
      <c r="D18" s="5">
        <v>0.3854166666666667</v>
      </c>
      <c r="E18" s="2" t="s">
        <v>65</v>
      </c>
      <c r="F18" s="2" t="s">
        <v>103</v>
      </c>
      <c r="G18" s="2" t="s">
        <v>67</v>
      </c>
      <c r="H18" s="2" t="s">
        <v>68</v>
      </c>
      <c r="I18" s="6" t="s">
        <v>79</v>
      </c>
      <c r="J18" s="4">
        <v>45693.0</v>
      </c>
      <c r="K18" s="5">
        <v>0.3541666666666667</v>
      </c>
      <c r="L18" s="6">
        <v>2858.0</v>
      </c>
      <c r="M18" s="10"/>
      <c r="N18" s="10"/>
      <c r="O18" s="10"/>
      <c r="P18" s="6">
        <v>2852.09</v>
      </c>
      <c r="Q18" s="6">
        <v>2.0</v>
      </c>
      <c r="R18" s="6">
        <v>0.0</v>
      </c>
      <c r="S18" s="6">
        <v>2858.15</v>
      </c>
      <c r="T18" s="6">
        <v>2858.2</v>
      </c>
      <c r="U18" s="6">
        <v>2854.78</v>
      </c>
      <c r="V18" s="6">
        <v>2855.59</v>
      </c>
      <c r="W18" s="2" t="s">
        <v>70</v>
      </c>
      <c r="X18" s="7">
        <v>0.01</v>
      </c>
      <c r="Y18" s="6">
        <v>14.2</v>
      </c>
      <c r="Z18" s="6">
        <v>1.33</v>
      </c>
      <c r="AA18" s="8" t="s">
        <v>134</v>
      </c>
      <c r="AB18" s="8" t="s">
        <v>135</v>
      </c>
      <c r="AC18" s="8" t="s">
        <v>136</v>
      </c>
      <c r="AD18" s="2" t="s">
        <v>137</v>
      </c>
    </row>
    <row r="19">
      <c r="A19" s="2" t="s">
        <v>64</v>
      </c>
      <c r="B19" s="4">
        <v>45694.0</v>
      </c>
      <c r="C19" s="5">
        <v>0.53125</v>
      </c>
      <c r="D19" s="5">
        <v>0.5833333333333334</v>
      </c>
      <c r="E19" s="2" t="s">
        <v>89</v>
      </c>
      <c r="F19" s="2" t="s">
        <v>103</v>
      </c>
      <c r="G19" s="2" t="s">
        <v>75</v>
      </c>
      <c r="H19" s="2" t="s">
        <v>68</v>
      </c>
      <c r="I19" s="6" t="s">
        <v>79</v>
      </c>
      <c r="J19" s="4">
        <v>45694.0</v>
      </c>
      <c r="K19" s="5">
        <v>0.3541666666666667</v>
      </c>
      <c r="L19" s="6">
        <v>2860.92</v>
      </c>
      <c r="M19" s="10"/>
      <c r="N19" s="10"/>
      <c r="O19" s="10"/>
      <c r="P19" s="6">
        <v>2871.42</v>
      </c>
      <c r="Q19" s="6">
        <v>4.0</v>
      </c>
      <c r="R19" s="6">
        <v>3.0</v>
      </c>
      <c r="S19" s="6">
        <v>28860.11</v>
      </c>
      <c r="T19" s="6">
        <v>2867.04</v>
      </c>
      <c r="U19" s="6">
        <v>28599.78</v>
      </c>
      <c r="V19" s="6">
        <v>2865.3</v>
      </c>
      <c r="W19" s="2" t="s">
        <v>81</v>
      </c>
      <c r="X19" s="7">
        <v>-0.01</v>
      </c>
      <c r="Y19" s="6" t="s">
        <v>80</v>
      </c>
      <c r="Z19" s="6">
        <v>0.87</v>
      </c>
      <c r="AA19" s="8" t="s">
        <v>138</v>
      </c>
      <c r="AB19" s="8" t="s">
        <v>139</v>
      </c>
      <c r="AC19" s="8" t="s">
        <v>140</v>
      </c>
    </row>
    <row r="20">
      <c r="A20" s="2" t="s">
        <v>64</v>
      </c>
      <c r="B20" s="4">
        <v>45695.0</v>
      </c>
      <c r="C20" s="5">
        <v>0.5416666666666666</v>
      </c>
      <c r="D20" s="5">
        <v>0.5520833333333334</v>
      </c>
      <c r="E20" s="2" t="s">
        <v>89</v>
      </c>
      <c r="F20" s="2" t="s">
        <v>66</v>
      </c>
      <c r="G20" s="2" t="s">
        <v>75</v>
      </c>
      <c r="H20" s="2" t="s">
        <v>68</v>
      </c>
      <c r="I20" s="6" t="s">
        <v>69</v>
      </c>
      <c r="J20" s="4">
        <v>45695.0</v>
      </c>
      <c r="K20" s="5">
        <v>0.5</v>
      </c>
      <c r="L20" s="6">
        <v>2867.36</v>
      </c>
      <c r="M20" s="10"/>
      <c r="N20" s="10"/>
      <c r="O20" s="10"/>
      <c r="P20" s="6">
        <v>2871.42</v>
      </c>
      <c r="Q20" s="6">
        <v>1.0</v>
      </c>
      <c r="R20" s="6">
        <v>3.0</v>
      </c>
      <c r="S20" s="6">
        <v>2866.31</v>
      </c>
      <c r="T20" s="6">
        <v>2868.2</v>
      </c>
      <c r="U20" s="6">
        <v>2865.38</v>
      </c>
      <c r="V20" s="6">
        <v>2867.6</v>
      </c>
      <c r="W20" s="2" t="s">
        <v>81</v>
      </c>
      <c r="X20" s="7">
        <v>-0.01</v>
      </c>
      <c r="Y20" s="6" t="s">
        <v>80</v>
      </c>
      <c r="Z20" s="6">
        <v>0.11</v>
      </c>
      <c r="AA20" s="8" t="s">
        <v>141</v>
      </c>
      <c r="AB20" s="8" t="s">
        <v>142</v>
      </c>
      <c r="AC20" s="8" t="s">
        <v>143</v>
      </c>
    </row>
    <row r="21">
      <c r="A21" s="11" t="s">
        <v>64</v>
      </c>
      <c r="B21" s="12">
        <v>45698.0</v>
      </c>
      <c r="C21" s="13">
        <v>0.2916666666666667</v>
      </c>
      <c r="D21" s="13">
        <v>0.3020833333333333</v>
      </c>
      <c r="E21" s="11" t="s">
        <v>89</v>
      </c>
      <c r="F21" s="11" t="s">
        <v>78</v>
      </c>
      <c r="G21" s="11" t="s">
        <v>67</v>
      </c>
      <c r="H21" s="11" t="s">
        <v>68</v>
      </c>
      <c r="I21" s="14" t="s">
        <v>69</v>
      </c>
      <c r="J21" s="12">
        <v>45698.0</v>
      </c>
      <c r="K21" s="13">
        <v>0.25</v>
      </c>
      <c r="L21" s="15">
        <v>2879.0</v>
      </c>
      <c r="M21" s="14"/>
      <c r="N21" s="14"/>
      <c r="O21" s="14"/>
      <c r="P21" s="15">
        <v>2882.87</v>
      </c>
      <c r="Q21" s="15">
        <v>0.0</v>
      </c>
      <c r="R21" s="15">
        <v>0.0</v>
      </c>
      <c r="S21" s="15">
        <v>2878.54</v>
      </c>
      <c r="T21" s="15">
        <v>2879.14</v>
      </c>
      <c r="U21" s="15">
        <v>2875.9</v>
      </c>
      <c r="V21" s="15">
        <v>2879.1</v>
      </c>
      <c r="W21" s="11" t="s">
        <v>70</v>
      </c>
      <c r="X21" s="16">
        <v>0.01</v>
      </c>
      <c r="Y21" s="15">
        <v>4.4</v>
      </c>
      <c r="Z21" s="15">
        <v>1.18</v>
      </c>
      <c r="AA21" s="8" t="s">
        <v>144</v>
      </c>
      <c r="AB21" s="8" t="s">
        <v>145</v>
      </c>
      <c r="AC21" s="8" t="s">
        <v>146</v>
      </c>
      <c r="AD21" s="2" t="s">
        <v>147</v>
      </c>
    </row>
    <row r="22">
      <c r="A22" s="2" t="s">
        <v>64</v>
      </c>
      <c r="B22" s="12">
        <v>45698.0</v>
      </c>
      <c r="C22" s="5">
        <v>0.53125</v>
      </c>
      <c r="D22" s="5">
        <v>0.59375</v>
      </c>
      <c r="E22" s="2" t="s">
        <v>89</v>
      </c>
      <c r="F22" s="2" t="s">
        <v>78</v>
      </c>
      <c r="G22" s="2" t="s">
        <v>75</v>
      </c>
      <c r="H22" s="2" t="s">
        <v>68</v>
      </c>
      <c r="I22" s="6" t="s">
        <v>69</v>
      </c>
      <c r="J22" s="12">
        <v>45698.0</v>
      </c>
      <c r="K22" s="5">
        <v>0.4583333333333333</v>
      </c>
      <c r="L22" s="6">
        <v>2902.71</v>
      </c>
      <c r="M22" s="10"/>
      <c r="N22" s="10"/>
      <c r="O22" s="10"/>
      <c r="P22" s="6" t="s">
        <v>80</v>
      </c>
      <c r="Q22" s="6">
        <v>1.0</v>
      </c>
      <c r="R22" s="6" t="s">
        <v>80</v>
      </c>
      <c r="S22" s="6">
        <v>2899.9</v>
      </c>
      <c r="T22" s="6">
        <v>2905.05</v>
      </c>
      <c r="U22" s="6">
        <v>2899.66</v>
      </c>
      <c r="V22" s="6">
        <v>2903.82</v>
      </c>
      <c r="W22" s="2" t="s">
        <v>70</v>
      </c>
      <c r="X22" s="7">
        <v>0.01</v>
      </c>
      <c r="Y22" s="6">
        <v>28.0</v>
      </c>
      <c r="Z22" s="6">
        <v>1.69</v>
      </c>
      <c r="AA22" s="8" t="s">
        <v>148</v>
      </c>
      <c r="AB22" s="8" t="s">
        <v>149</v>
      </c>
      <c r="AC22" s="8" t="s">
        <v>150</v>
      </c>
    </row>
    <row r="23">
      <c r="A23" s="2" t="s">
        <v>64</v>
      </c>
      <c r="B23" s="12">
        <v>45699.0</v>
      </c>
      <c r="C23" s="5">
        <v>0.28125</v>
      </c>
      <c r="D23" s="5">
        <v>0.2916666666666667</v>
      </c>
      <c r="E23" s="2" t="s">
        <v>89</v>
      </c>
      <c r="F23" s="2" t="s">
        <v>90</v>
      </c>
      <c r="G23" s="2" t="s">
        <v>67</v>
      </c>
      <c r="H23" s="2" t="s">
        <v>68</v>
      </c>
      <c r="I23" s="6" t="s">
        <v>69</v>
      </c>
      <c r="J23" s="12">
        <v>45699.0</v>
      </c>
      <c r="K23" s="5">
        <v>0.1875</v>
      </c>
      <c r="L23" s="6">
        <v>2922.13</v>
      </c>
      <c r="M23" s="10"/>
      <c r="N23" s="10"/>
      <c r="O23" s="10"/>
      <c r="P23" s="6">
        <v>2939.64</v>
      </c>
      <c r="Q23" s="6">
        <v>0.0</v>
      </c>
      <c r="R23" s="6">
        <v>0.0</v>
      </c>
      <c r="S23" s="6">
        <v>2918.07</v>
      </c>
      <c r="T23" s="6">
        <v>1928.1</v>
      </c>
      <c r="U23" s="6">
        <v>2910.57</v>
      </c>
      <c r="V23" s="6">
        <v>2910.97</v>
      </c>
      <c r="W23" s="2" t="s">
        <v>70</v>
      </c>
      <c r="X23" s="7">
        <v>0.01</v>
      </c>
      <c r="Y23" s="6">
        <v>11.0</v>
      </c>
      <c r="Z23" s="6">
        <v>1.41</v>
      </c>
      <c r="AA23" s="8" t="s">
        <v>151</v>
      </c>
      <c r="AB23" s="8" t="s">
        <v>152</v>
      </c>
      <c r="AC23" s="8" t="s">
        <v>153</v>
      </c>
    </row>
    <row r="24">
      <c r="A24" s="2" t="s">
        <v>64</v>
      </c>
      <c r="B24" s="12">
        <v>45699.0</v>
      </c>
      <c r="C24" s="5">
        <v>0.5104166666666666</v>
      </c>
      <c r="D24" s="5">
        <v>0.5416666666666666</v>
      </c>
      <c r="E24" s="2" t="s">
        <v>89</v>
      </c>
      <c r="F24" s="2" t="s">
        <v>90</v>
      </c>
      <c r="G24" s="2" t="s">
        <v>75</v>
      </c>
      <c r="H24" s="2" t="s">
        <v>68</v>
      </c>
      <c r="I24" s="6" t="s">
        <v>79</v>
      </c>
      <c r="J24" s="12">
        <v>45699.0</v>
      </c>
      <c r="K24" s="5">
        <v>0.4791666666666667</v>
      </c>
      <c r="L24" s="6">
        <v>2905.17</v>
      </c>
      <c r="M24" s="10"/>
      <c r="N24" s="10"/>
      <c r="O24" s="10"/>
      <c r="P24" s="6">
        <v>2909.66</v>
      </c>
      <c r="Q24" s="6">
        <v>0.0</v>
      </c>
      <c r="R24" s="6">
        <v>0.0</v>
      </c>
      <c r="S24" s="6">
        <v>2902.4</v>
      </c>
      <c r="T24" s="6">
        <v>2906.14</v>
      </c>
      <c r="U24" s="6">
        <v>2901.97</v>
      </c>
      <c r="V24" s="6">
        <v>2905.58</v>
      </c>
      <c r="W24" s="2" t="s">
        <v>81</v>
      </c>
      <c r="X24" s="7">
        <v>-0.01</v>
      </c>
      <c r="Y24" s="6" t="s">
        <v>80</v>
      </c>
      <c r="Z24" s="6">
        <v>0.26</v>
      </c>
      <c r="AA24" s="8" t="s">
        <v>154</v>
      </c>
      <c r="AB24" s="8" t="s">
        <v>155</v>
      </c>
      <c r="AC24" s="8" t="s">
        <v>156</v>
      </c>
    </row>
    <row r="25">
      <c r="A25" s="2" t="s">
        <v>64</v>
      </c>
      <c r="B25" s="17">
        <v>45701.0</v>
      </c>
      <c r="C25" s="5">
        <v>0.59375</v>
      </c>
      <c r="D25" s="5">
        <v>0.6145833333333334</v>
      </c>
      <c r="E25" s="2" t="s">
        <v>65</v>
      </c>
      <c r="F25" s="2" t="s">
        <v>103</v>
      </c>
      <c r="G25" s="2" t="s">
        <v>75</v>
      </c>
      <c r="H25" s="2" t="s">
        <v>68</v>
      </c>
      <c r="I25" s="6" t="s">
        <v>69</v>
      </c>
      <c r="J25" s="17">
        <v>45701.0</v>
      </c>
      <c r="K25" s="5">
        <v>0.5208333333333334</v>
      </c>
      <c r="L25" s="6">
        <v>2916.7</v>
      </c>
      <c r="M25" s="10"/>
      <c r="N25" s="10"/>
      <c r="O25" s="10"/>
      <c r="P25" s="6">
        <v>2911.5</v>
      </c>
      <c r="Q25" s="6">
        <v>2.0</v>
      </c>
      <c r="R25" s="6">
        <v>0.0</v>
      </c>
      <c r="S25" s="6">
        <v>2917.51</v>
      </c>
      <c r="T25" s="6">
        <v>2917.8</v>
      </c>
      <c r="U25" s="6">
        <v>2912.74</v>
      </c>
      <c r="V25" s="6">
        <v>2915.2</v>
      </c>
      <c r="W25" s="2" t="s">
        <v>70</v>
      </c>
      <c r="X25" s="7">
        <v>0.01</v>
      </c>
      <c r="Y25" s="6">
        <v>12.8</v>
      </c>
      <c r="Z25" s="6">
        <v>1.42</v>
      </c>
      <c r="AA25" s="8" t="s">
        <v>157</v>
      </c>
      <c r="AB25" s="8" t="s">
        <v>158</v>
      </c>
      <c r="AC25" s="8" t="s">
        <v>159</v>
      </c>
    </row>
    <row r="26">
      <c r="A26" s="2" t="s">
        <v>64</v>
      </c>
      <c r="B26" s="17">
        <v>45702.0</v>
      </c>
      <c r="C26" s="5">
        <v>0.3125</v>
      </c>
      <c r="D26" s="5">
        <v>0.3229166666666667</v>
      </c>
      <c r="E26" s="2" t="s">
        <v>89</v>
      </c>
      <c r="F26" s="2" t="s">
        <v>66</v>
      </c>
      <c r="G26" s="2" t="s">
        <v>67</v>
      </c>
      <c r="H26" s="2" t="s">
        <v>68</v>
      </c>
      <c r="I26" s="6" t="s">
        <v>69</v>
      </c>
      <c r="J26" s="17">
        <v>45702.0</v>
      </c>
      <c r="K26" s="5">
        <v>0.10416666666666667</v>
      </c>
      <c r="L26" s="6">
        <v>2931.39</v>
      </c>
      <c r="M26" s="10"/>
      <c r="N26" s="10"/>
      <c r="O26" s="10"/>
      <c r="P26" s="6">
        <v>2939.64</v>
      </c>
      <c r="Q26" s="6">
        <v>3.0</v>
      </c>
      <c r="R26" s="6">
        <v>0.0</v>
      </c>
      <c r="S26" s="6">
        <v>2931.14</v>
      </c>
      <c r="T26" s="6">
        <v>2933.2</v>
      </c>
      <c r="U26" s="6">
        <v>2930.66</v>
      </c>
      <c r="V26" s="6">
        <v>2932.86</v>
      </c>
      <c r="W26" s="2" t="s">
        <v>70</v>
      </c>
      <c r="X26" s="7">
        <v>0.01</v>
      </c>
      <c r="Y26" s="6">
        <v>4.6</v>
      </c>
      <c r="Z26" s="6">
        <v>1.76</v>
      </c>
      <c r="AA26" s="8" t="s">
        <v>160</v>
      </c>
      <c r="AB26" s="8" t="s">
        <v>161</v>
      </c>
      <c r="AC26" s="8" t="s">
        <v>162</v>
      </c>
    </row>
    <row r="27">
      <c r="A27" s="2" t="s">
        <v>64</v>
      </c>
      <c r="B27" s="17">
        <v>45702.0</v>
      </c>
      <c r="C27" s="5">
        <v>0.5208333333333334</v>
      </c>
      <c r="D27" s="5">
        <v>0.53125</v>
      </c>
      <c r="E27" s="2" t="s">
        <v>65</v>
      </c>
      <c r="F27" s="2" t="s">
        <v>66</v>
      </c>
      <c r="G27" s="2" t="s">
        <v>75</v>
      </c>
      <c r="H27" s="2" t="s">
        <v>68</v>
      </c>
      <c r="I27" s="6" t="s">
        <v>69</v>
      </c>
      <c r="J27" s="17">
        <v>45702.0</v>
      </c>
      <c r="K27" s="5">
        <v>0.4583333333333333</v>
      </c>
      <c r="L27" s="6">
        <v>2935.04</v>
      </c>
      <c r="M27" s="10"/>
      <c r="N27" s="10"/>
      <c r="O27" s="10"/>
      <c r="P27" s="6">
        <v>2931.6</v>
      </c>
      <c r="Q27" s="6">
        <v>1.0</v>
      </c>
      <c r="R27" s="6">
        <v>0.0</v>
      </c>
      <c r="S27" s="6">
        <v>2935.08</v>
      </c>
      <c r="T27" s="6">
        <v>2936.13</v>
      </c>
      <c r="U27" s="6">
        <v>2933.89</v>
      </c>
      <c r="V27" s="6">
        <v>2934.03</v>
      </c>
      <c r="W27" s="2" t="s">
        <v>70</v>
      </c>
      <c r="X27" s="7">
        <v>0.01</v>
      </c>
      <c r="Y27" s="6">
        <v>7.6</v>
      </c>
      <c r="Z27" s="6">
        <v>1.15</v>
      </c>
      <c r="AA27" s="8" t="s">
        <v>163</v>
      </c>
      <c r="AB27" s="8" t="s">
        <v>164</v>
      </c>
      <c r="AC27" s="8" t="s">
        <v>165</v>
      </c>
      <c r="AD27" s="2" t="s">
        <v>166</v>
      </c>
    </row>
    <row r="28">
      <c r="A28" s="2" t="s">
        <v>64</v>
      </c>
      <c r="B28" s="17">
        <v>45705.0</v>
      </c>
      <c r="C28" s="5">
        <v>0.2916666666666667</v>
      </c>
      <c r="D28" s="5">
        <v>0.3020833333333333</v>
      </c>
      <c r="E28" s="2" t="s">
        <v>65</v>
      </c>
      <c r="F28" s="2" t="s">
        <v>78</v>
      </c>
      <c r="G28" s="2" t="s">
        <v>67</v>
      </c>
      <c r="H28" s="2" t="s">
        <v>68</v>
      </c>
      <c r="I28" s="6" t="s">
        <v>69</v>
      </c>
      <c r="J28" s="17">
        <v>45705.0</v>
      </c>
      <c r="K28" s="5">
        <v>0.25</v>
      </c>
      <c r="L28" s="6">
        <v>2899.28</v>
      </c>
      <c r="M28" s="10"/>
      <c r="N28" s="10"/>
      <c r="O28" s="10"/>
      <c r="P28" s="6">
        <v>2876.95</v>
      </c>
      <c r="Q28" s="6">
        <v>0.0</v>
      </c>
      <c r="R28" s="6">
        <v>1.0</v>
      </c>
      <c r="S28" s="6">
        <v>2901.83</v>
      </c>
      <c r="T28" s="6">
        <v>2902.37</v>
      </c>
      <c r="U28" s="6">
        <v>2896.0</v>
      </c>
      <c r="V28" s="6">
        <v>2896.21</v>
      </c>
      <c r="W28" s="2" t="s">
        <v>70</v>
      </c>
      <c r="X28" s="7">
        <v>0.01</v>
      </c>
      <c r="Y28" s="6">
        <v>4.2</v>
      </c>
      <c r="Z28" s="6">
        <v>1.31</v>
      </c>
      <c r="AA28" s="8" t="s">
        <v>167</v>
      </c>
      <c r="AB28" s="8" t="s">
        <v>168</v>
      </c>
      <c r="AC28" s="8" t="s">
        <v>169</v>
      </c>
    </row>
    <row r="29">
      <c r="A29" s="2" t="s">
        <v>64</v>
      </c>
      <c r="B29" s="17">
        <v>45705.0</v>
      </c>
      <c r="C29" s="5">
        <v>0.5520833333333334</v>
      </c>
      <c r="D29" s="5">
        <v>0.65625</v>
      </c>
      <c r="E29" s="2" t="s">
        <v>65</v>
      </c>
      <c r="F29" s="2" t="s">
        <v>78</v>
      </c>
      <c r="G29" s="2" t="s">
        <v>75</v>
      </c>
      <c r="H29" s="2" t="s">
        <v>68</v>
      </c>
      <c r="I29" s="6" t="s">
        <v>69</v>
      </c>
      <c r="J29" s="17">
        <v>45705.0</v>
      </c>
      <c r="K29" s="5">
        <v>0.4791666666666667</v>
      </c>
      <c r="L29" s="6">
        <v>2898.17</v>
      </c>
      <c r="M29" s="10"/>
      <c r="N29" s="10"/>
      <c r="O29" s="10"/>
      <c r="P29" s="6">
        <v>2889.49</v>
      </c>
      <c r="Q29" s="6">
        <v>1.0</v>
      </c>
      <c r="R29" s="6">
        <v>0.0</v>
      </c>
      <c r="S29" s="6">
        <v>2900.92</v>
      </c>
      <c r="T29" s="6">
        <v>2901.5</v>
      </c>
      <c r="U29" s="6">
        <v>2896.6</v>
      </c>
      <c r="V29" s="6">
        <v>2897.41</v>
      </c>
      <c r="W29" s="2" t="s">
        <v>81</v>
      </c>
      <c r="X29" s="7">
        <v>-0.01</v>
      </c>
      <c r="Y29" s="6" t="s">
        <v>80</v>
      </c>
      <c r="Z29" s="6">
        <v>0.51</v>
      </c>
      <c r="AA29" s="8" t="s">
        <v>170</v>
      </c>
      <c r="AB29" s="9" t="s">
        <v>171</v>
      </c>
      <c r="AC29" s="8" t="s">
        <v>172</v>
      </c>
      <c r="AD29" s="2" t="s">
        <v>173</v>
      </c>
    </row>
    <row r="30">
      <c r="A30" s="2" t="s">
        <v>64</v>
      </c>
      <c r="B30" s="17">
        <v>45706.0</v>
      </c>
      <c r="C30" s="5">
        <v>0.3020833333333333</v>
      </c>
      <c r="D30" s="5">
        <v>0.3645833333333333</v>
      </c>
      <c r="E30" s="2" t="s">
        <v>89</v>
      </c>
      <c r="F30" s="2" t="s">
        <v>90</v>
      </c>
      <c r="G30" s="2" t="s">
        <v>67</v>
      </c>
      <c r="H30" s="2" t="s">
        <v>68</v>
      </c>
      <c r="I30" s="6" t="s">
        <v>69</v>
      </c>
      <c r="J30" s="17">
        <v>45706.0</v>
      </c>
      <c r="K30" s="5">
        <v>0.2708333333333333</v>
      </c>
      <c r="L30" s="6">
        <v>2913.01</v>
      </c>
      <c r="M30" s="10"/>
      <c r="N30" s="10"/>
      <c r="O30" s="10"/>
      <c r="P30" s="6">
        <v>2926.65</v>
      </c>
      <c r="Q30" s="6">
        <v>1.0</v>
      </c>
      <c r="R30" s="6">
        <v>0.0</v>
      </c>
      <c r="S30" s="6">
        <v>2910.55</v>
      </c>
      <c r="T30" s="6">
        <v>2914.25</v>
      </c>
      <c r="U30" s="6">
        <v>2909.85</v>
      </c>
      <c r="V30" s="6">
        <v>2913.76</v>
      </c>
      <c r="W30" s="2" t="s">
        <v>81</v>
      </c>
      <c r="X30" s="7">
        <v>-0.01</v>
      </c>
      <c r="Y30" s="6" t="s">
        <v>80</v>
      </c>
      <c r="Z30" s="6">
        <v>0.42</v>
      </c>
      <c r="AA30" s="8" t="s">
        <v>174</v>
      </c>
      <c r="AB30" s="8" t="s">
        <v>175</v>
      </c>
      <c r="AC30" s="8" t="s">
        <v>176</v>
      </c>
    </row>
    <row r="31">
      <c r="A31" s="2" t="s">
        <v>64</v>
      </c>
      <c r="B31" s="17">
        <v>45706.0</v>
      </c>
      <c r="C31" s="5">
        <v>0.5416666666666666</v>
      </c>
      <c r="D31" s="5">
        <v>0.5729166666666666</v>
      </c>
      <c r="E31" s="2" t="s">
        <v>89</v>
      </c>
      <c r="F31" s="2" t="s">
        <v>90</v>
      </c>
      <c r="G31" s="2" t="s">
        <v>75</v>
      </c>
      <c r="H31" s="2" t="s">
        <v>68</v>
      </c>
      <c r="I31" s="6" t="s">
        <v>69</v>
      </c>
      <c r="J31" s="17">
        <v>45706.0</v>
      </c>
      <c r="K31" s="5">
        <v>0.3541666666666667</v>
      </c>
      <c r="L31" s="6">
        <v>2913.48</v>
      </c>
      <c r="M31" s="10"/>
      <c r="N31" s="10"/>
      <c r="O31" s="10"/>
      <c r="P31" s="6">
        <v>2926.65</v>
      </c>
      <c r="Q31" s="6">
        <v>0.0</v>
      </c>
      <c r="R31" s="6">
        <v>0.0</v>
      </c>
      <c r="S31" s="6">
        <v>2911.19</v>
      </c>
      <c r="T31" s="6">
        <v>2914.71</v>
      </c>
      <c r="U31" s="6">
        <v>2910.84</v>
      </c>
      <c r="V31" s="6">
        <v>2914.1</v>
      </c>
      <c r="W31" s="2" t="s">
        <v>70</v>
      </c>
      <c r="X31" s="7">
        <v>0.01</v>
      </c>
      <c r="Y31" s="6">
        <v>20.3</v>
      </c>
      <c r="Z31" s="6">
        <v>1.79</v>
      </c>
      <c r="AA31" s="8" t="s">
        <v>177</v>
      </c>
      <c r="AB31" s="8" t="s">
        <v>178</v>
      </c>
      <c r="AC31" s="8" t="s">
        <v>179</v>
      </c>
      <c r="AD31" s="2" t="s">
        <v>180</v>
      </c>
    </row>
    <row r="32">
      <c r="A32" s="2" t="s">
        <v>64</v>
      </c>
      <c r="B32" s="17">
        <v>45707.0</v>
      </c>
      <c r="C32" s="5">
        <v>0.5104166666666666</v>
      </c>
      <c r="D32" s="5">
        <v>0.5208333333333334</v>
      </c>
      <c r="E32" s="2" t="s">
        <v>65</v>
      </c>
      <c r="F32" s="2" t="s">
        <v>95</v>
      </c>
      <c r="G32" s="2" t="s">
        <v>75</v>
      </c>
      <c r="H32" s="2" t="s">
        <v>68</v>
      </c>
      <c r="I32" s="6" t="s">
        <v>69</v>
      </c>
      <c r="J32" s="17">
        <v>45707.0</v>
      </c>
      <c r="K32" s="5">
        <v>0.4791666666666667</v>
      </c>
      <c r="L32" s="6">
        <v>2944.17</v>
      </c>
      <c r="M32" s="10"/>
      <c r="N32" s="10"/>
      <c r="O32" s="10"/>
      <c r="P32" s="6">
        <v>2938.49</v>
      </c>
      <c r="Q32" s="6">
        <v>2.0</v>
      </c>
      <c r="R32" s="6">
        <v>0.0</v>
      </c>
      <c r="S32" s="6">
        <v>2944.7</v>
      </c>
      <c r="T32" s="6">
        <v>2945.94</v>
      </c>
      <c r="U32" s="6">
        <v>2942.79</v>
      </c>
      <c r="V32" s="6">
        <v>2943.39</v>
      </c>
      <c r="W32" s="2" t="s">
        <v>70</v>
      </c>
      <c r="X32" s="7">
        <v>0.01</v>
      </c>
      <c r="Y32" s="6">
        <v>10.6</v>
      </c>
      <c r="Z32" s="6">
        <v>1.92</v>
      </c>
      <c r="AA32" s="8" t="s">
        <v>181</v>
      </c>
      <c r="AB32" s="8" t="s">
        <v>182</v>
      </c>
      <c r="AC32" s="8" t="s">
        <v>183</v>
      </c>
      <c r="AD32" s="2" t="s">
        <v>184</v>
      </c>
    </row>
    <row r="33">
      <c r="A33" s="2" t="s">
        <v>64</v>
      </c>
      <c r="B33" s="17">
        <v>45708.0</v>
      </c>
      <c r="C33" s="5">
        <v>0.2916666666666667</v>
      </c>
      <c r="D33" s="5">
        <v>0.3541666666666667</v>
      </c>
      <c r="E33" s="2" t="s">
        <v>89</v>
      </c>
      <c r="F33" s="2" t="s">
        <v>103</v>
      </c>
      <c r="G33" s="2" t="s">
        <v>67</v>
      </c>
      <c r="H33" s="2" t="s">
        <v>68</v>
      </c>
      <c r="I33" s="6" t="s">
        <v>69</v>
      </c>
      <c r="J33" s="17">
        <v>45707.0</v>
      </c>
      <c r="K33" s="5">
        <v>0.4375</v>
      </c>
      <c r="L33" s="6">
        <v>2945.79</v>
      </c>
      <c r="M33" s="10"/>
      <c r="N33" s="10"/>
      <c r="O33" s="10"/>
      <c r="P33" s="6" t="s">
        <v>80</v>
      </c>
      <c r="Q33" s="6">
        <v>3.0</v>
      </c>
      <c r="R33" s="6" t="s">
        <v>80</v>
      </c>
      <c r="S33" s="6">
        <v>2943.63</v>
      </c>
      <c r="T33" s="6">
        <v>2946.67</v>
      </c>
      <c r="U33" s="6">
        <v>2943.51</v>
      </c>
      <c r="V33" s="6">
        <v>2946.54</v>
      </c>
      <c r="W33" s="2" t="s">
        <v>70</v>
      </c>
      <c r="X33" s="7">
        <v>0.01</v>
      </c>
      <c r="Y33" s="6">
        <v>29.1</v>
      </c>
      <c r="Z33" s="6">
        <v>2.73</v>
      </c>
      <c r="AA33" s="8" t="s">
        <v>185</v>
      </c>
      <c r="AB33" s="8" t="s">
        <v>186</v>
      </c>
      <c r="AC33" s="8" t="s">
        <v>187</v>
      </c>
    </row>
    <row r="34">
      <c r="A34" s="2" t="s">
        <v>64</v>
      </c>
      <c r="B34" s="17">
        <v>45708.0</v>
      </c>
      <c r="C34" s="5">
        <v>0.5416666666666666</v>
      </c>
      <c r="D34" s="5">
        <v>0.5520833333333334</v>
      </c>
      <c r="E34" s="2" t="s">
        <v>65</v>
      </c>
      <c r="F34" s="2" t="s">
        <v>103</v>
      </c>
      <c r="G34" s="2" t="s">
        <v>75</v>
      </c>
      <c r="H34" s="2" t="s">
        <v>68</v>
      </c>
      <c r="I34" s="6" t="s">
        <v>69</v>
      </c>
      <c r="J34" s="17">
        <v>45708.0</v>
      </c>
      <c r="K34" s="5">
        <v>0.375</v>
      </c>
      <c r="L34" s="6">
        <v>2948.84</v>
      </c>
      <c r="M34" s="10"/>
      <c r="N34" s="10"/>
      <c r="O34" s="10"/>
      <c r="P34" s="6">
        <v>2945.73</v>
      </c>
      <c r="Q34" s="6">
        <v>1.0</v>
      </c>
      <c r="R34" s="6">
        <v>0.0</v>
      </c>
      <c r="S34" s="6">
        <v>2949.45</v>
      </c>
      <c r="T34" s="6">
        <v>2949.47</v>
      </c>
      <c r="U34" s="6">
        <v>2947.03</v>
      </c>
      <c r="V34" s="6">
        <v>2948.57</v>
      </c>
      <c r="W34" s="2" t="s">
        <v>81</v>
      </c>
      <c r="X34" s="7">
        <v>-0.01</v>
      </c>
      <c r="Y34" s="6" t="s">
        <v>80</v>
      </c>
      <c r="Z34" s="6" t="s">
        <v>80</v>
      </c>
      <c r="AA34" s="8" t="s">
        <v>188</v>
      </c>
      <c r="AB34" s="8" t="s">
        <v>189</v>
      </c>
      <c r="AC34" s="8" t="s">
        <v>190</v>
      </c>
    </row>
    <row r="35">
      <c r="A35" s="2" t="s">
        <v>64</v>
      </c>
      <c r="B35" s="17">
        <v>45709.0</v>
      </c>
      <c r="C35" s="5">
        <v>0.2604166666666667</v>
      </c>
      <c r="D35" s="5">
        <v>0.2708333333333333</v>
      </c>
      <c r="E35" s="2" t="s">
        <v>89</v>
      </c>
      <c r="F35" s="2" t="s">
        <v>66</v>
      </c>
      <c r="G35" s="2" t="s">
        <v>67</v>
      </c>
      <c r="H35" s="2" t="s">
        <v>68</v>
      </c>
      <c r="I35" s="6" t="s">
        <v>79</v>
      </c>
      <c r="J35" s="17">
        <v>45709.0</v>
      </c>
      <c r="K35" s="5">
        <v>0.1875</v>
      </c>
      <c r="L35" s="6">
        <v>2928.07</v>
      </c>
      <c r="M35" s="10"/>
      <c r="N35" s="10"/>
      <c r="O35" s="10"/>
      <c r="P35" s="6">
        <v>2916.96</v>
      </c>
      <c r="Q35" s="6">
        <v>1.0</v>
      </c>
      <c r="R35" s="6">
        <v>0.0</v>
      </c>
      <c r="S35" s="6">
        <v>2928.41</v>
      </c>
      <c r="T35" s="6">
        <v>2928.65</v>
      </c>
      <c r="U35" s="6">
        <v>2925.15</v>
      </c>
      <c r="V35" s="6">
        <v>2927.47</v>
      </c>
      <c r="W35" s="2" t="s">
        <v>70</v>
      </c>
      <c r="X35" s="7">
        <v>0.01</v>
      </c>
      <c r="Y35" s="6">
        <v>8.0</v>
      </c>
      <c r="Z35" s="6">
        <v>1.2</v>
      </c>
      <c r="AA35" s="8" t="s">
        <v>191</v>
      </c>
      <c r="AB35" s="8" t="s">
        <v>192</v>
      </c>
      <c r="AC35" s="8" t="s">
        <v>193</v>
      </c>
    </row>
    <row r="36">
      <c r="A36" s="2" t="s">
        <v>64</v>
      </c>
      <c r="B36" s="17">
        <v>45709.0</v>
      </c>
      <c r="C36" s="5">
        <v>0.5104166666666666</v>
      </c>
      <c r="D36" s="5">
        <v>0.53125</v>
      </c>
      <c r="E36" s="2" t="s">
        <v>89</v>
      </c>
      <c r="F36" s="2" t="s">
        <v>66</v>
      </c>
      <c r="G36" s="2" t="s">
        <v>75</v>
      </c>
      <c r="H36" s="2" t="s">
        <v>68</v>
      </c>
      <c r="I36" s="6" t="s">
        <v>79</v>
      </c>
      <c r="J36" s="17">
        <v>45709.0</v>
      </c>
      <c r="K36" s="5">
        <v>0.3541666666666667</v>
      </c>
      <c r="L36" s="6">
        <v>2930.67</v>
      </c>
      <c r="M36" s="10"/>
      <c r="N36" s="10"/>
      <c r="O36" s="10"/>
      <c r="P36" s="6">
        <v>2938.96</v>
      </c>
      <c r="Q36" s="6">
        <v>4.0</v>
      </c>
      <c r="R36" s="6">
        <v>0.0</v>
      </c>
      <c r="S36" s="6">
        <v>2930.4</v>
      </c>
      <c r="T36" s="6">
        <v>2934.52</v>
      </c>
      <c r="U36" s="6">
        <v>2929.63</v>
      </c>
      <c r="V36" s="6">
        <v>2934.05</v>
      </c>
      <c r="W36" s="2" t="s">
        <v>81</v>
      </c>
      <c r="X36" s="7">
        <v>-0.01</v>
      </c>
      <c r="Y36" s="6" t="s">
        <v>80</v>
      </c>
      <c r="Z36" s="6">
        <v>0.63</v>
      </c>
      <c r="AA36" s="8" t="s">
        <v>194</v>
      </c>
      <c r="AB36" s="8" t="s">
        <v>195</v>
      </c>
      <c r="AC36" s="8" t="s">
        <v>196</v>
      </c>
    </row>
    <row r="37">
      <c r="A37" s="2" t="s">
        <v>64</v>
      </c>
      <c r="B37" s="4">
        <v>45712.0</v>
      </c>
      <c r="C37" s="5">
        <v>0.5416666666666666</v>
      </c>
      <c r="D37" s="5">
        <v>0.5520833333333334</v>
      </c>
      <c r="E37" s="2" t="s">
        <v>89</v>
      </c>
      <c r="F37" s="2" t="s">
        <v>78</v>
      </c>
      <c r="G37" s="2" t="s">
        <v>75</v>
      </c>
      <c r="H37" s="2" t="s">
        <v>68</v>
      </c>
      <c r="I37" s="6" t="s">
        <v>79</v>
      </c>
      <c r="J37" s="4">
        <v>45712.0</v>
      </c>
      <c r="K37" s="5">
        <v>0.4166666666666667</v>
      </c>
      <c r="L37" s="6">
        <v>2946.18</v>
      </c>
      <c r="M37" s="10"/>
      <c r="N37" s="10"/>
      <c r="O37" s="10"/>
      <c r="P37" s="6">
        <v>2954.34</v>
      </c>
      <c r="Q37" s="6">
        <v>2.0</v>
      </c>
      <c r="R37" s="6">
        <v>2.0</v>
      </c>
      <c r="S37" s="6">
        <v>2944.42</v>
      </c>
      <c r="T37" s="6">
        <v>2947.96</v>
      </c>
      <c r="U37" s="6">
        <v>2944.28</v>
      </c>
      <c r="V37" s="6">
        <v>2947.45</v>
      </c>
      <c r="W37" s="2" t="s">
        <v>70</v>
      </c>
      <c r="X37" s="7">
        <v>0.01</v>
      </c>
      <c r="Y37" s="6">
        <v>21.4</v>
      </c>
      <c r="Z37" s="6">
        <v>1.16</v>
      </c>
      <c r="AA37" s="8" t="s">
        <v>197</v>
      </c>
      <c r="AB37" s="8" t="s">
        <v>198</v>
      </c>
      <c r="AC37" s="8" t="s">
        <v>199</v>
      </c>
      <c r="AD37" s="2" t="s">
        <v>200</v>
      </c>
    </row>
    <row r="38">
      <c r="A38" s="2" t="s">
        <v>64</v>
      </c>
      <c r="B38" s="4">
        <v>45713.0</v>
      </c>
      <c r="C38" s="5">
        <v>0.3125</v>
      </c>
      <c r="D38" s="5">
        <v>0.3333333333333333</v>
      </c>
      <c r="E38" s="2" t="s">
        <v>65</v>
      </c>
      <c r="F38" s="2" t="s">
        <v>90</v>
      </c>
      <c r="G38" s="2" t="s">
        <v>67</v>
      </c>
      <c r="H38" s="2" t="s">
        <v>68</v>
      </c>
      <c r="I38" s="6" t="s">
        <v>79</v>
      </c>
      <c r="J38" s="4">
        <v>45712.0</v>
      </c>
      <c r="K38" s="5">
        <v>0.6875</v>
      </c>
      <c r="L38" s="6">
        <v>2935.64</v>
      </c>
      <c r="M38" s="10"/>
      <c r="N38" s="10"/>
      <c r="O38" s="10"/>
      <c r="P38" s="6">
        <v>2916.96</v>
      </c>
      <c r="Q38" s="6">
        <v>1.0</v>
      </c>
      <c r="R38" s="6">
        <v>1.0</v>
      </c>
      <c r="S38" s="6">
        <v>2936.58</v>
      </c>
      <c r="T38" s="6">
        <v>2938.33</v>
      </c>
      <c r="U38" s="6">
        <v>2935.24</v>
      </c>
      <c r="V38" s="6">
        <v>2935.55</v>
      </c>
      <c r="W38" s="2" t="s">
        <v>81</v>
      </c>
      <c r="X38" s="7">
        <v>-0.01</v>
      </c>
      <c r="Y38" s="6" t="s">
        <v>80</v>
      </c>
      <c r="Z38" s="6">
        <v>0.79</v>
      </c>
      <c r="AA38" s="8" t="s">
        <v>201</v>
      </c>
      <c r="AB38" s="8" t="s">
        <v>202</v>
      </c>
      <c r="AC38" s="8" t="s">
        <v>203</v>
      </c>
    </row>
    <row r="39">
      <c r="A39" s="2" t="s">
        <v>64</v>
      </c>
      <c r="B39" s="4">
        <v>45713.0</v>
      </c>
      <c r="C39" s="5">
        <v>0.5520833333333334</v>
      </c>
      <c r="D39" s="5">
        <v>0.5625</v>
      </c>
      <c r="E39" s="2" t="s">
        <v>89</v>
      </c>
      <c r="F39" s="2" t="s">
        <v>90</v>
      </c>
      <c r="G39" s="2" t="s">
        <v>75</v>
      </c>
      <c r="H39" s="2" t="s">
        <v>68</v>
      </c>
      <c r="I39" s="6" t="s">
        <v>79</v>
      </c>
      <c r="J39" s="4">
        <v>45713.0</v>
      </c>
      <c r="K39" s="5">
        <v>0.5208333333333334</v>
      </c>
      <c r="L39" s="6">
        <v>2940.05</v>
      </c>
      <c r="M39" s="10"/>
      <c r="N39" s="10"/>
      <c r="O39" s="10"/>
      <c r="P39" s="6">
        <v>2949.67</v>
      </c>
      <c r="Q39" s="6">
        <v>1.0</v>
      </c>
      <c r="R39" s="6">
        <v>0.0</v>
      </c>
      <c r="S39" s="6">
        <v>2938.52</v>
      </c>
      <c r="T39" s="6">
        <v>2940.65</v>
      </c>
      <c r="U39" s="6">
        <v>2938.33</v>
      </c>
      <c r="V39" s="6">
        <v>2940.4</v>
      </c>
      <c r="W39" s="2" t="s">
        <v>81</v>
      </c>
      <c r="X39" s="7">
        <v>-0.01</v>
      </c>
      <c r="Y39" s="6" t="s">
        <v>80</v>
      </c>
      <c r="Z39" s="6">
        <v>0.36</v>
      </c>
      <c r="AA39" s="8" t="s">
        <v>204</v>
      </c>
      <c r="AB39" s="8" t="s">
        <v>205</v>
      </c>
      <c r="AC39" s="8" t="s">
        <v>206</v>
      </c>
    </row>
    <row r="40">
      <c r="A40" s="2" t="s">
        <v>64</v>
      </c>
      <c r="B40" s="4">
        <v>45714.0</v>
      </c>
      <c r="C40" s="5">
        <v>0.53125</v>
      </c>
      <c r="D40" s="5">
        <v>0.5729166666666666</v>
      </c>
      <c r="E40" s="2" t="s">
        <v>89</v>
      </c>
      <c r="F40" s="2" t="s">
        <v>95</v>
      </c>
      <c r="G40" s="2" t="s">
        <v>75</v>
      </c>
      <c r="H40" s="2" t="s">
        <v>68</v>
      </c>
      <c r="I40" s="6" t="s">
        <v>79</v>
      </c>
      <c r="J40" s="4">
        <v>45714.0</v>
      </c>
      <c r="K40" s="5">
        <v>0.4791666666666667</v>
      </c>
      <c r="L40" s="6">
        <v>2914.08</v>
      </c>
      <c r="M40" s="10"/>
      <c r="N40" s="10"/>
      <c r="O40" s="10"/>
      <c r="P40" s="6">
        <v>2920.99</v>
      </c>
      <c r="Q40" s="6">
        <v>0.0</v>
      </c>
      <c r="R40" s="6">
        <v>0.0</v>
      </c>
      <c r="S40" s="6">
        <v>2912.87</v>
      </c>
      <c r="T40" s="6">
        <v>2915.12</v>
      </c>
      <c r="U40" s="6">
        <v>2912.58</v>
      </c>
      <c r="V40" s="6">
        <v>2914.76</v>
      </c>
      <c r="W40" s="2" t="s">
        <v>81</v>
      </c>
      <c r="X40" s="7">
        <v>-0.01</v>
      </c>
      <c r="Y40" s="6" t="s">
        <v>80</v>
      </c>
      <c r="Z40" s="6">
        <v>0.29</v>
      </c>
      <c r="AA40" s="8" t="s">
        <v>207</v>
      </c>
      <c r="AB40" s="8" t="s">
        <v>208</v>
      </c>
      <c r="AC40" s="8" t="s">
        <v>209</v>
      </c>
    </row>
    <row r="41">
      <c r="A41" s="2" t="s">
        <v>64</v>
      </c>
      <c r="B41" s="4">
        <v>45715.0</v>
      </c>
      <c r="C41" s="5">
        <v>0.2708333333333333</v>
      </c>
      <c r="D41" s="5">
        <v>0.28125</v>
      </c>
      <c r="E41" s="2" t="s">
        <v>65</v>
      </c>
      <c r="F41" s="2" t="s">
        <v>103</v>
      </c>
      <c r="G41" s="2" t="s">
        <v>67</v>
      </c>
      <c r="H41" s="2" t="s">
        <v>68</v>
      </c>
      <c r="I41" s="6" t="s">
        <v>79</v>
      </c>
      <c r="J41" s="4">
        <v>45714.0</v>
      </c>
      <c r="K41" s="5">
        <v>0.6458333333333334</v>
      </c>
      <c r="L41" s="6">
        <v>2894.71</v>
      </c>
      <c r="M41" s="10"/>
      <c r="N41" s="10"/>
      <c r="O41" s="10"/>
      <c r="P41" s="6">
        <v>2889.49</v>
      </c>
      <c r="Q41" s="6">
        <v>1.0</v>
      </c>
      <c r="R41" s="6">
        <v>1.0</v>
      </c>
      <c r="S41" s="6">
        <v>2895.82</v>
      </c>
      <c r="T41" s="6">
        <v>2896.27</v>
      </c>
      <c r="U41" s="6">
        <v>2890.69</v>
      </c>
      <c r="V41" s="6">
        <v>2893.77</v>
      </c>
      <c r="W41" s="2" t="s">
        <v>70</v>
      </c>
      <c r="X41" s="7">
        <v>0.01</v>
      </c>
      <c r="Y41" s="6">
        <v>0.4</v>
      </c>
      <c r="Z41" s="6">
        <v>1.7</v>
      </c>
      <c r="AA41" s="8" t="s">
        <v>210</v>
      </c>
      <c r="AB41" s="8" t="s">
        <v>211</v>
      </c>
      <c r="AC41" s="8" t="s">
        <v>212</v>
      </c>
    </row>
    <row r="42">
      <c r="A42" s="2" t="s">
        <v>64</v>
      </c>
      <c r="B42" s="4">
        <v>45716.0</v>
      </c>
      <c r="C42" s="5">
        <v>0.3020833333333333</v>
      </c>
      <c r="D42" s="5">
        <v>0.3125</v>
      </c>
      <c r="E42" s="2" t="s">
        <v>65</v>
      </c>
      <c r="F42" s="2" t="s">
        <v>66</v>
      </c>
      <c r="G42" s="2" t="s">
        <v>67</v>
      </c>
      <c r="H42" s="2" t="s">
        <v>68</v>
      </c>
      <c r="I42" s="6" t="s">
        <v>79</v>
      </c>
      <c r="J42" s="4">
        <v>45716.0</v>
      </c>
      <c r="K42" s="5">
        <v>0.2708333333333333</v>
      </c>
      <c r="L42" s="6">
        <v>2863.22</v>
      </c>
      <c r="M42" s="10"/>
      <c r="N42" s="10"/>
      <c r="O42" s="10"/>
      <c r="P42" s="6">
        <v>2859.65</v>
      </c>
      <c r="Q42" s="6">
        <v>1.0</v>
      </c>
      <c r="R42" s="6">
        <v>1.0</v>
      </c>
      <c r="S42" s="6">
        <v>2863.98</v>
      </c>
      <c r="T42" s="6">
        <v>2864.63</v>
      </c>
      <c r="U42" s="6">
        <v>2861.76</v>
      </c>
      <c r="V42" s="6">
        <v>2863.19</v>
      </c>
      <c r="W42" s="2" t="s">
        <v>81</v>
      </c>
      <c r="X42" s="7">
        <v>-0.01</v>
      </c>
      <c r="Y42" s="6" t="s">
        <v>80</v>
      </c>
      <c r="Z42" s="6" t="s">
        <v>80</v>
      </c>
      <c r="AA42" s="8" t="s">
        <v>213</v>
      </c>
      <c r="AB42" s="8" t="s">
        <v>214</v>
      </c>
      <c r="AC42" s="8" t="s">
        <v>215</v>
      </c>
    </row>
    <row r="43">
      <c r="A43" s="2" t="s">
        <v>64</v>
      </c>
      <c r="B43" s="4">
        <v>45716.0</v>
      </c>
      <c r="C43" s="5">
        <v>0.5625</v>
      </c>
      <c r="D43" s="5">
        <v>0.5729166666666666</v>
      </c>
      <c r="E43" s="2" t="s">
        <v>89</v>
      </c>
      <c r="F43" s="2" t="s">
        <v>66</v>
      </c>
      <c r="G43" s="2" t="s">
        <v>75</v>
      </c>
      <c r="H43" s="2" t="s">
        <v>68</v>
      </c>
      <c r="I43" s="6" t="s">
        <v>79</v>
      </c>
      <c r="J43" s="4">
        <v>45716.0</v>
      </c>
      <c r="K43" s="5">
        <v>0.5</v>
      </c>
      <c r="L43" s="6">
        <v>2862.56</v>
      </c>
      <c r="M43" s="10"/>
      <c r="N43" s="10"/>
      <c r="O43" s="10"/>
      <c r="P43" s="6">
        <v>2865.57</v>
      </c>
      <c r="Q43" s="6">
        <v>2.0</v>
      </c>
      <c r="R43" s="6">
        <v>0.0</v>
      </c>
      <c r="S43" s="6">
        <v>2862.53</v>
      </c>
      <c r="T43" s="6">
        <v>2864.05</v>
      </c>
      <c r="U43" s="6">
        <v>2862.15</v>
      </c>
      <c r="V43" s="6">
        <v>2862.73</v>
      </c>
      <c r="W43" s="2" t="s">
        <v>81</v>
      </c>
      <c r="X43" s="7">
        <v>-0.01</v>
      </c>
      <c r="Y43" s="6" t="s">
        <v>80</v>
      </c>
      <c r="Z43" s="6">
        <v>0.16</v>
      </c>
      <c r="AA43" s="8" t="s">
        <v>216</v>
      </c>
      <c r="AB43" s="8" t="s">
        <v>217</v>
      </c>
      <c r="AC43" s="8" t="s">
        <v>218</v>
      </c>
    </row>
    <row r="44">
      <c r="A44" s="2" t="s">
        <v>64</v>
      </c>
      <c r="B44" s="4">
        <v>45719.0</v>
      </c>
      <c r="C44" s="5">
        <v>0.3541666666666667</v>
      </c>
      <c r="D44" s="5">
        <v>0.375</v>
      </c>
      <c r="E44" s="2" t="s">
        <v>65</v>
      </c>
      <c r="F44" s="2" t="s">
        <v>78</v>
      </c>
      <c r="G44" s="2" t="s">
        <v>67</v>
      </c>
      <c r="H44" s="2" t="s">
        <v>68</v>
      </c>
      <c r="I44" s="6" t="s">
        <v>69</v>
      </c>
      <c r="J44" s="4">
        <v>45719.0</v>
      </c>
      <c r="K44" s="5">
        <v>0.1875</v>
      </c>
      <c r="L44" s="6">
        <v>2861.69</v>
      </c>
      <c r="M44" s="10"/>
      <c r="N44" s="10"/>
      <c r="O44" s="10"/>
      <c r="P44" s="6">
        <v>2839.34</v>
      </c>
      <c r="Q44" s="6">
        <v>2.0</v>
      </c>
      <c r="R44" s="6">
        <v>0.0</v>
      </c>
      <c r="S44" s="6">
        <v>2862.27</v>
      </c>
      <c r="T44" s="6">
        <v>2863.76</v>
      </c>
      <c r="U44" s="6">
        <v>2860.92</v>
      </c>
      <c r="V44" s="6">
        <v>2863.68</v>
      </c>
      <c r="W44" s="2" t="s">
        <v>81</v>
      </c>
      <c r="X44" s="7">
        <v>-0.01</v>
      </c>
      <c r="Y44" s="6" t="s">
        <v>80</v>
      </c>
      <c r="Z44" s="6">
        <v>0.58</v>
      </c>
      <c r="AA44" s="8" t="s">
        <v>219</v>
      </c>
      <c r="AB44" s="8" t="s">
        <v>220</v>
      </c>
      <c r="AC44" s="8" t="s">
        <v>221</v>
      </c>
    </row>
    <row r="45">
      <c r="A45" s="2" t="s">
        <v>64</v>
      </c>
      <c r="B45" s="4">
        <v>45720.0</v>
      </c>
      <c r="C45" s="5">
        <v>0.2604166666666667</v>
      </c>
      <c r="D45" s="5">
        <v>0.28125</v>
      </c>
      <c r="E45" s="2" t="s">
        <v>89</v>
      </c>
      <c r="F45" s="2" t="s">
        <v>90</v>
      </c>
      <c r="G45" s="2" t="s">
        <v>67</v>
      </c>
      <c r="H45" s="2" t="s">
        <v>68</v>
      </c>
      <c r="I45" s="6" t="s">
        <v>69</v>
      </c>
      <c r="J45" s="4">
        <v>45720.0</v>
      </c>
      <c r="K45" s="5">
        <v>0.1875</v>
      </c>
      <c r="L45" s="6">
        <v>2891.84</v>
      </c>
      <c r="M45" s="10"/>
      <c r="N45" s="10"/>
      <c r="O45" s="10"/>
      <c r="P45" s="6">
        <v>2895.06</v>
      </c>
      <c r="Q45" s="6">
        <v>1.0</v>
      </c>
      <c r="R45" s="6">
        <v>3.0</v>
      </c>
      <c r="S45" s="6">
        <v>2891.17</v>
      </c>
      <c r="T45" s="6">
        <v>2892.68</v>
      </c>
      <c r="U45" s="6">
        <v>2890.18</v>
      </c>
      <c r="V45" s="6">
        <v>2892.4</v>
      </c>
      <c r="W45" s="2" t="s">
        <v>81</v>
      </c>
      <c r="X45" s="7">
        <v>-0.01</v>
      </c>
      <c r="Y45" s="6" t="s">
        <v>80</v>
      </c>
      <c r="Z45" s="6">
        <v>0.77</v>
      </c>
      <c r="AA45" s="18" t="s">
        <v>222</v>
      </c>
      <c r="AB45" s="8" t="s">
        <v>223</v>
      </c>
      <c r="AC45" s="8" t="s">
        <v>224</v>
      </c>
    </row>
    <row r="46">
      <c r="A46" s="2" t="s">
        <v>64</v>
      </c>
      <c r="B46" s="4">
        <v>45720.0</v>
      </c>
      <c r="C46" s="5">
        <v>0.5520833333333334</v>
      </c>
      <c r="D46" s="5">
        <v>0.5625</v>
      </c>
      <c r="E46" s="2" t="s">
        <v>89</v>
      </c>
      <c r="F46" s="2" t="s">
        <v>90</v>
      </c>
      <c r="G46" s="2" t="s">
        <v>75</v>
      </c>
      <c r="H46" s="2" t="s">
        <v>68</v>
      </c>
      <c r="I46" s="6" t="s">
        <v>69</v>
      </c>
      <c r="J46" s="4">
        <v>45714.0</v>
      </c>
      <c r="K46" s="5">
        <v>0.16666666666666666</v>
      </c>
      <c r="L46" s="6">
        <v>2920.99</v>
      </c>
      <c r="M46" s="10"/>
      <c r="N46" s="10"/>
      <c r="O46" s="10"/>
      <c r="P46" s="6">
        <v>2927.41</v>
      </c>
      <c r="Q46" s="6">
        <v>0.0</v>
      </c>
      <c r="R46" s="6">
        <v>0.0</v>
      </c>
      <c r="S46" s="6">
        <v>2919.79</v>
      </c>
      <c r="T46" s="6">
        <v>2921.12</v>
      </c>
      <c r="U46" s="6">
        <v>2919.02</v>
      </c>
      <c r="V46" s="6">
        <v>2921.05</v>
      </c>
      <c r="W46" s="2" t="s">
        <v>81</v>
      </c>
      <c r="X46" s="7">
        <v>-0.01</v>
      </c>
      <c r="Y46" s="6" t="s">
        <v>80</v>
      </c>
      <c r="Z46" s="6" t="s">
        <v>80</v>
      </c>
      <c r="AA46" s="8" t="s">
        <v>225</v>
      </c>
      <c r="AB46" s="8" t="s">
        <v>226</v>
      </c>
      <c r="AC46" s="8" t="s">
        <v>227</v>
      </c>
    </row>
    <row r="47">
      <c r="A47" s="2" t="s">
        <v>64</v>
      </c>
      <c r="B47" s="4">
        <v>45721.0</v>
      </c>
      <c r="C47" s="5">
        <v>0.6041666666666666</v>
      </c>
      <c r="D47" s="5">
        <v>0.6145833333333334</v>
      </c>
      <c r="E47" s="2" t="s">
        <v>65</v>
      </c>
      <c r="F47" s="2" t="s">
        <v>95</v>
      </c>
      <c r="G47" s="2" t="s">
        <v>75</v>
      </c>
      <c r="H47" s="2" t="s">
        <v>68</v>
      </c>
      <c r="I47" s="6" t="s">
        <v>79</v>
      </c>
      <c r="J47" s="4">
        <v>45721.0</v>
      </c>
      <c r="K47" s="5">
        <v>0.5</v>
      </c>
      <c r="L47" s="6">
        <v>2913.02</v>
      </c>
      <c r="M47" s="10"/>
      <c r="N47" s="10"/>
      <c r="O47" s="10"/>
      <c r="P47" s="6">
        <v>2908.56</v>
      </c>
      <c r="Q47" s="6">
        <v>4.0</v>
      </c>
      <c r="R47" s="6">
        <v>0.0</v>
      </c>
      <c r="S47" s="6">
        <v>2913.34</v>
      </c>
      <c r="T47" s="6">
        <v>2916.18</v>
      </c>
      <c r="U47" s="6">
        <v>2910.96</v>
      </c>
      <c r="V47" s="6">
        <v>2912.85</v>
      </c>
      <c r="W47" s="2" t="s">
        <v>70</v>
      </c>
      <c r="X47" s="7">
        <v>0.01</v>
      </c>
      <c r="Y47" s="6">
        <v>8.9</v>
      </c>
      <c r="Z47" s="6">
        <v>1.29</v>
      </c>
      <c r="AA47" s="8" t="s">
        <v>228</v>
      </c>
      <c r="AB47" s="8" t="s">
        <v>229</v>
      </c>
      <c r="AC47" s="8" t="s">
        <v>230</v>
      </c>
      <c r="AD47" s="2" t="s">
        <v>231</v>
      </c>
    </row>
    <row r="48">
      <c r="A48" s="2" t="s">
        <v>64</v>
      </c>
      <c r="B48" s="4">
        <v>45722.0</v>
      </c>
      <c r="C48" s="5">
        <v>0.2604166666666667</v>
      </c>
      <c r="D48" s="5">
        <v>0.2708333333333333</v>
      </c>
      <c r="E48" s="2" t="s">
        <v>65</v>
      </c>
      <c r="F48" s="2" t="s">
        <v>95</v>
      </c>
      <c r="G48" s="2" t="s">
        <v>67</v>
      </c>
      <c r="H48" s="2" t="s">
        <v>68</v>
      </c>
      <c r="I48" s="6" t="s">
        <v>69</v>
      </c>
      <c r="J48" s="4">
        <v>45722.0</v>
      </c>
      <c r="K48" s="5">
        <v>0.08333333333333333</v>
      </c>
      <c r="L48" s="6">
        <v>2916.55</v>
      </c>
      <c r="M48" s="10"/>
      <c r="N48" s="10"/>
      <c r="O48" s="10"/>
      <c r="P48" s="6">
        <v>2899.89</v>
      </c>
      <c r="Q48" s="6">
        <v>2.0</v>
      </c>
      <c r="R48" s="6">
        <v>1.0</v>
      </c>
      <c r="S48" s="6">
        <v>2917.28</v>
      </c>
      <c r="T48" s="6">
        <v>2917.46</v>
      </c>
      <c r="U48" s="6">
        <v>2915.36</v>
      </c>
      <c r="V48" s="6">
        <v>2915.62</v>
      </c>
      <c r="W48" s="2" t="s">
        <v>81</v>
      </c>
      <c r="X48" s="7">
        <v>-0.01</v>
      </c>
      <c r="Y48" s="6" t="s">
        <v>80</v>
      </c>
      <c r="Z48" s="6">
        <v>0.7</v>
      </c>
      <c r="AA48" s="8" t="s">
        <v>232</v>
      </c>
      <c r="AB48" s="8" t="s">
        <v>233</v>
      </c>
      <c r="AC48" s="8" t="s">
        <v>234</v>
      </c>
    </row>
    <row r="49">
      <c r="A49" s="2" t="s">
        <v>64</v>
      </c>
      <c r="B49" s="4">
        <v>45723.0</v>
      </c>
      <c r="C49" s="5">
        <v>0.2604166666666667</v>
      </c>
      <c r="D49" s="5">
        <v>0.2708333333333333</v>
      </c>
      <c r="E49" s="2" t="s">
        <v>89</v>
      </c>
      <c r="F49" s="2" t="s">
        <v>66</v>
      </c>
      <c r="G49" s="2" t="s">
        <v>67</v>
      </c>
      <c r="H49" s="2" t="s">
        <v>68</v>
      </c>
      <c r="I49" s="6" t="s">
        <v>69</v>
      </c>
      <c r="J49" s="4">
        <v>45723.0</v>
      </c>
      <c r="K49" s="5">
        <v>0.16666666666666666</v>
      </c>
      <c r="L49" s="6">
        <v>2907.94</v>
      </c>
      <c r="M49" s="10"/>
      <c r="N49" s="10"/>
      <c r="O49" s="10"/>
      <c r="P49" s="6">
        <v>2914.6</v>
      </c>
      <c r="Q49" s="6">
        <v>1.0</v>
      </c>
      <c r="R49" s="6">
        <v>0.0</v>
      </c>
      <c r="S49" s="6">
        <v>2906.41</v>
      </c>
      <c r="T49" s="6">
        <v>2909.69</v>
      </c>
      <c r="U49" s="6">
        <v>2906.24</v>
      </c>
      <c r="V49" s="6">
        <v>2908.57</v>
      </c>
      <c r="W49" s="2" t="s">
        <v>70</v>
      </c>
      <c r="X49" s="7">
        <v>0.01</v>
      </c>
      <c r="Y49" s="6">
        <v>1.5</v>
      </c>
      <c r="Z49" s="6">
        <v>1.58</v>
      </c>
      <c r="AA49" s="8" t="s">
        <v>235</v>
      </c>
      <c r="AB49" s="8" t="s">
        <v>235</v>
      </c>
      <c r="AC49" s="8" t="s">
        <v>236</v>
      </c>
      <c r="AD49" s="2" t="s">
        <v>237</v>
      </c>
    </row>
    <row r="50">
      <c r="A50" s="2" t="s">
        <v>64</v>
      </c>
      <c r="B50" s="4">
        <v>45723.0</v>
      </c>
      <c r="C50" s="5">
        <v>0.59375</v>
      </c>
      <c r="D50" s="5">
        <v>0.6041666666666666</v>
      </c>
      <c r="E50" s="2" t="s">
        <v>65</v>
      </c>
      <c r="F50" s="2" t="s">
        <v>66</v>
      </c>
      <c r="G50" s="2" t="s">
        <v>75</v>
      </c>
      <c r="H50" s="2" t="s">
        <v>68</v>
      </c>
      <c r="I50" s="6" t="s">
        <v>69</v>
      </c>
      <c r="J50" s="4">
        <v>45723.0</v>
      </c>
      <c r="K50" s="5">
        <v>0.5</v>
      </c>
      <c r="L50" s="6">
        <v>2917.9</v>
      </c>
      <c r="M50" s="10"/>
      <c r="N50" s="10"/>
      <c r="O50" s="10"/>
      <c r="P50" s="6">
        <v>2917.9</v>
      </c>
      <c r="Q50" s="6">
        <v>2.0</v>
      </c>
      <c r="R50" s="6">
        <v>1.0</v>
      </c>
      <c r="S50" s="6">
        <v>2918.45</v>
      </c>
      <c r="T50" s="6">
        <v>2920.47</v>
      </c>
      <c r="U50" s="6">
        <v>2916.69</v>
      </c>
      <c r="V50" s="6">
        <v>2917.84</v>
      </c>
      <c r="W50" s="2" t="s">
        <v>70</v>
      </c>
      <c r="X50" s="7">
        <v>0.01</v>
      </c>
      <c r="Y50" s="6">
        <v>0.9</v>
      </c>
      <c r="Z50" s="6">
        <v>2.93</v>
      </c>
      <c r="AA50" s="8" t="s">
        <v>238</v>
      </c>
      <c r="AB50" s="8" t="s">
        <v>239</v>
      </c>
      <c r="AC50" s="8" t="s">
        <v>240</v>
      </c>
    </row>
    <row r="51">
      <c r="A51" s="2" t="s">
        <v>64</v>
      </c>
      <c r="B51" s="4">
        <v>45726.0</v>
      </c>
      <c r="C51" s="5">
        <v>0.3125</v>
      </c>
      <c r="D51" s="5">
        <v>0.3333333333333333</v>
      </c>
      <c r="E51" s="2" t="s">
        <v>89</v>
      </c>
      <c r="F51" s="2" t="s">
        <v>78</v>
      </c>
      <c r="G51" s="2" t="s">
        <v>67</v>
      </c>
      <c r="H51" s="2" t="s">
        <v>68</v>
      </c>
      <c r="I51" s="6" t="s">
        <v>79</v>
      </c>
      <c r="J51" s="4">
        <v>45726.0</v>
      </c>
      <c r="K51" s="5">
        <v>0.1875</v>
      </c>
      <c r="L51" s="6">
        <v>2911.79</v>
      </c>
      <c r="M51" s="10"/>
      <c r="N51" s="10"/>
      <c r="O51" s="10"/>
      <c r="P51" s="6">
        <v>2928.38</v>
      </c>
      <c r="Q51" s="6">
        <v>6.0</v>
      </c>
      <c r="R51" s="6">
        <v>3.0</v>
      </c>
      <c r="S51" s="6">
        <v>2910.51</v>
      </c>
      <c r="T51" s="6">
        <v>2912.42</v>
      </c>
      <c r="U51" s="6">
        <v>2909.13</v>
      </c>
      <c r="V51" s="6">
        <v>2911.96</v>
      </c>
      <c r="W51" s="2" t="s">
        <v>70</v>
      </c>
      <c r="X51" s="7">
        <v>0.01</v>
      </c>
      <c r="Y51" s="6">
        <v>10.1</v>
      </c>
      <c r="Z51" s="6">
        <v>1.2</v>
      </c>
      <c r="AA51" s="8" t="s">
        <v>241</v>
      </c>
      <c r="AB51" s="8" t="s">
        <v>242</v>
      </c>
      <c r="AC51" s="8" t="s">
        <v>243</v>
      </c>
    </row>
    <row r="52">
      <c r="A52" s="2" t="s">
        <v>64</v>
      </c>
      <c r="B52" s="4">
        <v>45727.0</v>
      </c>
      <c r="C52" s="5">
        <v>0.2916666666666667</v>
      </c>
      <c r="D52" s="5">
        <v>0.3020833333333333</v>
      </c>
      <c r="E52" s="2" t="s">
        <v>65</v>
      </c>
      <c r="F52" s="2" t="s">
        <v>90</v>
      </c>
      <c r="G52" s="2" t="s">
        <v>67</v>
      </c>
      <c r="H52" s="2" t="s">
        <v>68</v>
      </c>
      <c r="I52" s="6" t="s">
        <v>69</v>
      </c>
      <c r="J52" s="4">
        <v>45727.0</v>
      </c>
      <c r="K52" s="5">
        <v>0.1875</v>
      </c>
      <c r="L52" s="6">
        <v>2895.65</v>
      </c>
      <c r="M52" s="10"/>
      <c r="N52" s="10"/>
      <c r="O52" s="10"/>
      <c r="P52" s="6">
        <v>2881.48</v>
      </c>
      <c r="Q52" s="6">
        <v>2.0</v>
      </c>
      <c r="R52" s="6">
        <v>3.0</v>
      </c>
      <c r="S52" s="6">
        <v>2895.76</v>
      </c>
      <c r="T52" s="6">
        <v>2896.05</v>
      </c>
      <c r="U52" s="6">
        <v>2892.55</v>
      </c>
      <c r="V52" s="6">
        <v>2895.62</v>
      </c>
      <c r="W52" s="2" t="s">
        <v>81</v>
      </c>
      <c r="X52" s="7">
        <v>-0.01</v>
      </c>
      <c r="Y52" s="6" t="s">
        <v>80</v>
      </c>
      <c r="Z52" s="6" t="s">
        <v>80</v>
      </c>
      <c r="AA52" s="8" t="s">
        <v>244</v>
      </c>
      <c r="AB52" s="8" t="s">
        <v>245</v>
      </c>
      <c r="AC52" s="8" t="s">
        <v>246</v>
      </c>
    </row>
    <row r="53">
      <c r="A53" s="2" t="s">
        <v>64</v>
      </c>
      <c r="B53" s="4">
        <v>45727.0</v>
      </c>
      <c r="C53" s="5">
        <v>0.6145833333333334</v>
      </c>
      <c r="D53" s="5">
        <v>0.625</v>
      </c>
      <c r="E53" s="2" t="s">
        <v>65</v>
      </c>
      <c r="F53" s="2" t="s">
        <v>90</v>
      </c>
      <c r="G53" s="2" t="s">
        <v>75</v>
      </c>
      <c r="H53" s="2" t="s">
        <v>68</v>
      </c>
      <c r="I53" s="6" t="s">
        <v>69</v>
      </c>
      <c r="J53" s="4">
        <v>45727.0</v>
      </c>
      <c r="K53" s="5">
        <v>0.5</v>
      </c>
      <c r="L53" s="6">
        <v>2911.87</v>
      </c>
      <c r="M53" s="10"/>
      <c r="N53" s="10"/>
      <c r="O53" s="10"/>
      <c r="P53" s="6">
        <v>2900.12</v>
      </c>
      <c r="Q53" s="6">
        <v>3.0</v>
      </c>
      <c r="R53" s="6">
        <v>0.0</v>
      </c>
      <c r="S53" s="6">
        <v>2912.86</v>
      </c>
      <c r="T53" s="6">
        <v>2913.71</v>
      </c>
      <c r="U53" s="6">
        <v>2907.28</v>
      </c>
      <c r="V53" s="6">
        <v>2907.67</v>
      </c>
      <c r="W53" s="2" t="s">
        <v>81</v>
      </c>
      <c r="X53" s="7">
        <v>-0.01</v>
      </c>
      <c r="Y53" s="6" t="s">
        <v>80</v>
      </c>
      <c r="Z53" s="6">
        <v>0.15</v>
      </c>
      <c r="AA53" s="8" t="s">
        <v>247</v>
      </c>
      <c r="AB53" s="8" t="s">
        <v>248</v>
      </c>
      <c r="AC53" s="8" t="s">
        <v>249</v>
      </c>
    </row>
    <row r="54">
      <c r="A54" s="2" t="s">
        <v>64</v>
      </c>
      <c r="B54" s="4">
        <v>45728.0</v>
      </c>
      <c r="C54" s="5">
        <v>0.2916666666666667</v>
      </c>
      <c r="D54" s="5">
        <v>0.3020833333333333</v>
      </c>
      <c r="E54" s="2" t="s">
        <v>89</v>
      </c>
      <c r="F54" s="2" t="s">
        <v>95</v>
      </c>
      <c r="G54" s="2" t="s">
        <v>67</v>
      </c>
      <c r="H54" s="2" t="s">
        <v>68</v>
      </c>
      <c r="I54" s="6" t="s">
        <v>79</v>
      </c>
      <c r="J54" s="4">
        <v>45728.0</v>
      </c>
      <c r="K54" s="5">
        <v>0.22916666666666666</v>
      </c>
      <c r="L54" s="6">
        <v>2915.29</v>
      </c>
      <c r="M54" s="10"/>
      <c r="N54" s="10"/>
      <c r="O54" s="10"/>
      <c r="P54" s="6">
        <v>2920.02</v>
      </c>
      <c r="Q54" s="6">
        <v>1.0</v>
      </c>
      <c r="R54" s="6">
        <v>0.0</v>
      </c>
      <c r="S54" s="6">
        <v>2914.76</v>
      </c>
      <c r="T54" s="6">
        <v>2916.32</v>
      </c>
      <c r="U54" s="6">
        <v>2914.46</v>
      </c>
      <c r="V54" s="6">
        <v>2915.91</v>
      </c>
      <c r="W54" s="2" t="s">
        <v>70</v>
      </c>
      <c r="X54" s="7">
        <v>0.01</v>
      </c>
      <c r="Y54" s="6">
        <v>2.3</v>
      </c>
      <c r="Z54" s="6">
        <v>2.84</v>
      </c>
      <c r="AA54" s="8" t="s">
        <v>250</v>
      </c>
      <c r="AB54" s="8" t="s">
        <v>251</v>
      </c>
      <c r="AC54" s="8" t="s">
        <v>252</v>
      </c>
    </row>
    <row r="55">
      <c r="A55" s="2" t="s">
        <v>64</v>
      </c>
      <c r="B55" s="4">
        <v>45729.0</v>
      </c>
      <c r="C55" s="5">
        <v>0.3541666666666667</v>
      </c>
      <c r="D55" s="5">
        <v>0.3645833333333333</v>
      </c>
      <c r="E55" s="2" t="s">
        <v>65</v>
      </c>
      <c r="F55" s="2" t="s">
        <v>103</v>
      </c>
      <c r="G55" s="2" t="s">
        <v>67</v>
      </c>
      <c r="H55" s="2" t="s">
        <v>68</v>
      </c>
      <c r="I55" s="6" t="s">
        <v>69</v>
      </c>
      <c r="J55" s="4">
        <v>45729.0</v>
      </c>
      <c r="K55" s="5">
        <v>0.020833333333333332</v>
      </c>
      <c r="L55" s="6">
        <v>2935.11</v>
      </c>
      <c r="M55" s="10"/>
      <c r="N55" s="10"/>
      <c r="O55" s="10"/>
      <c r="P55" s="6">
        <v>2931.21</v>
      </c>
      <c r="Q55" s="6">
        <v>1.0</v>
      </c>
      <c r="R55" s="6">
        <v>1.0</v>
      </c>
      <c r="S55" s="6">
        <v>2936.05</v>
      </c>
      <c r="T55" s="6">
        <v>2936.8</v>
      </c>
      <c r="U55" s="6">
        <v>2934.31</v>
      </c>
      <c r="V55" s="6">
        <v>2935.07</v>
      </c>
      <c r="W55" s="2" t="s">
        <v>70</v>
      </c>
      <c r="X55" s="7">
        <v>0.01</v>
      </c>
      <c r="Y55" s="6">
        <v>8.2</v>
      </c>
      <c r="Z55" s="6">
        <v>1.34</v>
      </c>
      <c r="AA55" s="8" t="s">
        <v>253</v>
      </c>
      <c r="AB55" s="8" t="s">
        <v>254</v>
      </c>
      <c r="AC55" s="8" t="s">
        <v>255</v>
      </c>
    </row>
    <row r="56">
      <c r="A56" s="2" t="s">
        <v>64</v>
      </c>
      <c r="B56" s="4">
        <v>45730.0</v>
      </c>
      <c r="C56" s="5">
        <v>0.3125</v>
      </c>
      <c r="D56" s="5">
        <v>0.3229166666666667</v>
      </c>
      <c r="E56" s="2" t="s">
        <v>65</v>
      </c>
      <c r="F56" s="2" t="s">
        <v>66</v>
      </c>
      <c r="G56" s="2" t="s">
        <v>67</v>
      </c>
      <c r="H56" s="2" t="s">
        <v>68</v>
      </c>
      <c r="I56" s="6" t="s">
        <v>69</v>
      </c>
      <c r="J56" s="4">
        <v>45730.0</v>
      </c>
      <c r="K56" s="5">
        <v>0.875</v>
      </c>
      <c r="L56" s="6">
        <v>2982.83</v>
      </c>
      <c r="M56" s="10"/>
      <c r="N56" s="10"/>
      <c r="O56" s="10"/>
      <c r="P56" s="6">
        <v>2979.25</v>
      </c>
      <c r="Q56" s="6">
        <v>5.0</v>
      </c>
      <c r="R56" s="6">
        <v>0.0</v>
      </c>
      <c r="S56" s="6">
        <v>2983.92</v>
      </c>
      <c r="T56" s="6">
        <v>2984.43</v>
      </c>
      <c r="U56" s="6">
        <v>2981.27</v>
      </c>
      <c r="V56" s="6">
        <v>2981.99</v>
      </c>
      <c r="W56" s="2" t="s">
        <v>81</v>
      </c>
      <c r="X56" s="7">
        <v>-0.01</v>
      </c>
      <c r="Y56" s="6" t="s">
        <v>80</v>
      </c>
      <c r="Z56" s="6">
        <v>0.35</v>
      </c>
      <c r="AA56" s="8" t="s">
        <v>256</v>
      </c>
      <c r="AB56" s="8" t="s">
        <v>257</v>
      </c>
      <c r="AC56" s="8" t="s">
        <v>258</v>
      </c>
    </row>
    <row r="57">
      <c r="A57" s="2" t="s">
        <v>64</v>
      </c>
      <c r="B57" s="4">
        <v>45730.0</v>
      </c>
      <c r="C57" s="5">
        <v>0.59375</v>
      </c>
      <c r="D57" s="5">
        <v>0.6041666666666666</v>
      </c>
      <c r="E57" s="2" t="s">
        <v>65</v>
      </c>
      <c r="F57" s="2" t="s">
        <v>66</v>
      </c>
      <c r="G57" s="2" t="s">
        <v>75</v>
      </c>
      <c r="H57" s="2" t="s">
        <v>68</v>
      </c>
      <c r="I57" s="6" t="s">
        <v>69</v>
      </c>
      <c r="J57" s="4">
        <v>45730.0</v>
      </c>
      <c r="K57" s="5">
        <v>0.5</v>
      </c>
      <c r="L57" s="6">
        <v>2993.26</v>
      </c>
      <c r="M57" s="10"/>
      <c r="N57" s="10"/>
      <c r="O57" s="10"/>
      <c r="P57" s="6">
        <v>2983.6</v>
      </c>
      <c r="Q57" s="6">
        <v>2.0</v>
      </c>
      <c r="R57" s="6">
        <v>1.0</v>
      </c>
      <c r="S57" s="6">
        <v>2993.86</v>
      </c>
      <c r="T57" s="6">
        <v>2994.99</v>
      </c>
      <c r="U57" s="6">
        <v>2991.86</v>
      </c>
      <c r="V57" s="6">
        <v>2993.0</v>
      </c>
      <c r="W57" s="2" t="s">
        <v>81</v>
      </c>
      <c r="X57" s="7">
        <v>-0.01</v>
      </c>
      <c r="Y57" s="6" t="s">
        <v>80</v>
      </c>
      <c r="Z57" s="6" t="s">
        <v>80</v>
      </c>
      <c r="AA57" s="8" t="s">
        <v>259</v>
      </c>
      <c r="AB57" s="8" t="s">
        <v>260</v>
      </c>
      <c r="AC57" s="8" t="s">
        <v>256</v>
      </c>
    </row>
    <row r="58">
      <c r="A58" s="2" t="s">
        <v>64</v>
      </c>
      <c r="B58" s="4">
        <v>45734.0</v>
      </c>
      <c r="C58" s="5">
        <v>0.3020833333333333</v>
      </c>
      <c r="D58" s="5">
        <v>0.3229166666666667</v>
      </c>
      <c r="E58" s="2" t="s">
        <v>89</v>
      </c>
      <c r="F58" s="2" t="s">
        <v>90</v>
      </c>
      <c r="G58" s="2" t="s">
        <v>67</v>
      </c>
      <c r="H58" s="2" t="s">
        <v>68</v>
      </c>
      <c r="I58" s="6" t="s">
        <v>69</v>
      </c>
      <c r="J58" s="4">
        <v>45734.0</v>
      </c>
      <c r="K58" s="5">
        <v>0.25</v>
      </c>
      <c r="L58" s="6">
        <v>3014.3</v>
      </c>
      <c r="M58" s="10"/>
      <c r="N58" s="10"/>
      <c r="O58" s="10"/>
      <c r="P58" s="6" t="s">
        <v>80</v>
      </c>
      <c r="Q58" s="6">
        <v>0.0</v>
      </c>
      <c r="R58" s="6" t="s">
        <v>80</v>
      </c>
      <c r="S58" s="6">
        <v>3011.79</v>
      </c>
      <c r="T58" s="6">
        <v>3017.27</v>
      </c>
      <c r="U58" s="6">
        <v>3011.02</v>
      </c>
      <c r="V58" s="6">
        <v>3015.15</v>
      </c>
      <c r="W58" s="2" t="s">
        <v>81</v>
      </c>
      <c r="X58" s="7">
        <v>-0.01</v>
      </c>
      <c r="Y58" s="6" t="s">
        <v>80</v>
      </c>
      <c r="Z58" s="6">
        <v>0.26</v>
      </c>
      <c r="AA58" s="8" t="s">
        <v>261</v>
      </c>
      <c r="AB58" s="8" t="s">
        <v>262</v>
      </c>
      <c r="AC58" s="8" t="s">
        <v>263</v>
      </c>
    </row>
    <row r="59">
      <c r="A59" s="2" t="s">
        <v>64</v>
      </c>
      <c r="B59" s="4">
        <v>45734.0</v>
      </c>
      <c r="C59" s="5">
        <v>0.53125</v>
      </c>
      <c r="D59" s="5">
        <v>0.5520833333333334</v>
      </c>
      <c r="E59" s="2" t="s">
        <v>89</v>
      </c>
      <c r="F59" s="2" t="s">
        <v>90</v>
      </c>
      <c r="G59" s="2" t="s">
        <v>75</v>
      </c>
      <c r="H59" s="2" t="s">
        <v>68</v>
      </c>
      <c r="I59" s="6" t="s">
        <v>69</v>
      </c>
      <c r="J59" s="4">
        <v>45734.0</v>
      </c>
      <c r="K59" s="5">
        <v>0.4166666666666667</v>
      </c>
      <c r="L59" s="6">
        <v>3026.48</v>
      </c>
      <c r="M59" s="10"/>
      <c r="N59" s="10"/>
      <c r="O59" s="10"/>
      <c r="P59" s="6" t="s">
        <v>80</v>
      </c>
      <c r="Q59" s="6">
        <v>0.0</v>
      </c>
      <c r="R59" s="6" t="s">
        <v>80</v>
      </c>
      <c r="S59" s="6">
        <v>3024.47</v>
      </c>
      <c r="T59" s="6">
        <v>3029.48</v>
      </c>
      <c r="U59" s="6">
        <v>3024.21</v>
      </c>
      <c r="V59" s="6">
        <v>3027.88</v>
      </c>
      <c r="W59" s="2" t="s">
        <v>81</v>
      </c>
      <c r="X59" s="7">
        <v>-0.01</v>
      </c>
      <c r="Y59" s="6" t="s">
        <v>80</v>
      </c>
      <c r="Z59" s="6" t="s">
        <v>80</v>
      </c>
      <c r="AA59" s="8" t="s">
        <v>264</v>
      </c>
      <c r="AB59" s="8" t="s">
        <v>265</v>
      </c>
      <c r="AC59" s="8" t="s">
        <v>266</v>
      </c>
    </row>
    <row r="60">
      <c r="A60" s="2" t="s">
        <v>64</v>
      </c>
      <c r="B60" s="4">
        <v>45735.0</v>
      </c>
      <c r="C60" s="5">
        <v>0.2604166666666667</v>
      </c>
      <c r="D60" s="5">
        <v>0.2708333333333333</v>
      </c>
      <c r="E60" s="2" t="s">
        <v>89</v>
      </c>
      <c r="F60" s="2" t="s">
        <v>95</v>
      </c>
      <c r="G60" s="2" t="s">
        <v>67</v>
      </c>
      <c r="H60" s="2" t="s">
        <v>68</v>
      </c>
      <c r="I60" s="6" t="s">
        <v>69</v>
      </c>
      <c r="J60" s="4">
        <v>45734.0</v>
      </c>
      <c r="K60" s="5">
        <v>0.8541666666666666</v>
      </c>
      <c r="L60" s="6">
        <v>3037.17</v>
      </c>
      <c r="M60" s="10"/>
      <c r="N60" s="10"/>
      <c r="O60" s="10"/>
      <c r="P60" s="6" t="s">
        <v>80</v>
      </c>
      <c r="Q60" s="6">
        <v>3.0</v>
      </c>
      <c r="R60" s="6" t="s">
        <v>80</v>
      </c>
      <c r="S60" s="6">
        <v>3036.36</v>
      </c>
      <c r="T60" s="6">
        <v>3038.79</v>
      </c>
      <c r="U60" s="6">
        <v>3036.36</v>
      </c>
      <c r="V60" s="6">
        <v>3038.36</v>
      </c>
      <c r="W60" s="2" t="s">
        <v>70</v>
      </c>
      <c r="X60" s="7">
        <v>0.01</v>
      </c>
      <c r="Y60" s="6">
        <v>13.4</v>
      </c>
      <c r="Z60" s="6">
        <v>3.44</v>
      </c>
      <c r="AA60" s="8" t="s">
        <v>267</v>
      </c>
      <c r="AB60" s="8" t="s">
        <v>268</v>
      </c>
      <c r="AC60" s="8" t="s">
        <v>269</v>
      </c>
    </row>
    <row r="61">
      <c r="A61" s="2" t="s">
        <v>64</v>
      </c>
      <c r="B61" s="4">
        <v>45735.0</v>
      </c>
      <c r="C61" s="5">
        <v>0.5729166666666666</v>
      </c>
      <c r="D61" s="5">
        <v>0.5833333333333334</v>
      </c>
      <c r="E61" s="2" t="s">
        <v>89</v>
      </c>
      <c r="F61" s="2" t="s">
        <v>95</v>
      </c>
      <c r="G61" s="2" t="s">
        <v>75</v>
      </c>
      <c r="H61" s="2" t="s">
        <v>68</v>
      </c>
      <c r="I61" s="6" t="s">
        <v>69</v>
      </c>
      <c r="J61" s="4">
        <v>45735.0</v>
      </c>
      <c r="K61" s="5">
        <v>0.5208333333333334</v>
      </c>
      <c r="L61" s="6">
        <v>3039.37</v>
      </c>
      <c r="M61" s="10"/>
      <c r="N61" s="10"/>
      <c r="O61" s="10"/>
      <c r="P61" s="6">
        <v>3044.46</v>
      </c>
      <c r="Q61" s="6">
        <v>2.0</v>
      </c>
      <c r="R61" s="6" t="s">
        <v>80</v>
      </c>
      <c r="S61" s="6">
        <v>3037.23</v>
      </c>
      <c r="T61" s="6">
        <v>3040.24</v>
      </c>
      <c r="U61" s="6">
        <v>3036.16</v>
      </c>
      <c r="V61" s="6">
        <v>3039.56</v>
      </c>
      <c r="W61" s="2" t="s">
        <v>81</v>
      </c>
      <c r="X61" s="7">
        <v>-0.01</v>
      </c>
      <c r="Y61" s="6" t="s">
        <v>80</v>
      </c>
      <c r="Z61" s="6">
        <v>0.42</v>
      </c>
      <c r="AA61" s="8" t="s">
        <v>270</v>
      </c>
      <c r="AB61" s="8" t="s">
        <v>271</v>
      </c>
      <c r="AC61" s="8" t="s">
        <v>272</v>
      </c>
    </row>
    <row r="62">
      <c r="A62" s="2" t="s">
        <v>64</v>
      </c>
      <c r="B62" s="4">
        <v>45736.0</v>
      </c>
      <c r="C62" s="5">
        <v>0.3645833333333333</v>
      </c>
      <c r="D62" s="5">
        <v>0.375</v>
      </c>
      <c r="E62" s="2" t="s">
        <v>65</v>
      </c>
      <c r="F62" s="2" t="s">
        <v>103</v>
      </c>
      <c r="G62" s="2" t="s">
        <v>67</v>
      </c>
      <c r="H62" s="2" t="s">
        <v>68</v>
      </c>
      <c r="I62" s="6" t="s">
        <v>79</v>
      </c>
      <c r="J62" s="4">
        <v>45736.0</v>
      </c>
      <c r="K62" s="5">
        <v>0.16666666666666666</v>
      </c>
      <c r="L62" s="6">
        <v>3045.62</v>
      </c>
      <c r="M62" s="10"/>
      <c r="N62" s="10"/>
      <c r="O62" s="10"/>
      <c r="P62" s="6">
        <v>3042.04</v>
      </c>
      <c r="Q62" s="6">
        <v>5.0</v>
      </c>
      <c r="R62" s="6">
        <v>0.0</v>
      </c>
      <c r="S62" s="6">
        <v>3046.72</v>
      </c>
      <c r="T62" s="6">
        <v>3047.7</v>
      </c>
      <c r="U62" s="6">
        <v>3044.58</v>
      </c>
      <c r="V62" s="6">
        <v>3045.02</v>
      </c>
      <c r="W62" s="2" t="s">
        <v>70</v>
      </c>
      <c r="X62" s="7">
        <v>0.01</v>
      </c>
      <c r="Y62" s="6">
        <v>0.6</v>
      </c>
      <c r="Z62" s="6">
        <v>1.11</v>
      </c>
      <c r="AA62" s="8" t="s">
        <v>273</v>
      </c>
      <c r="AB62" s="8" t="s">
        <v>274</v>
      </c>
      <c r="AC62" s="8" t="s">
        <v>275</v>
      </c>
      <c r="AD62" s="2" t="s">
        <v>276</v>
      </c>
    </row>
    <row r="63">
      <c r="A63" s="2" t="s">
        <v>64</v>
      </c>
      <c r="B63" s="4">
        <v>45736.0</v>
      </c>
      <c r="C63" s="5">
        <v>0.5416666666666666</v>
      </c>
      <c r="D63" s="5">
        <v>0.5625</v>
      </c>
      <c r="E63" s="2" t="s">
        <v>89</v>
      </c>
      <c r="F63" s="2" t="s">
        <v>103</v>
      </c>
      <c r="G63" s="2" t="s">
        <v>75</v>
      </c>
      <c r="H63" s="2" t="s">
        <v>68</v>
      </c>
      <c r="I63" s="6" t="s">
        <v>79</v>
      </c>
      <c r="J63" s="4">
        <v>45736.0</v>
      </c>
      <c r="K63" s="5">
        <v>0.5</v>
      </c>
      <c r="L63" s="6">
        <v>3034.19</v>
      </c>
      <c r="M63" s="10"/>
      <c r="N63" s="10"/>
      <c r="O63" s="10"/>
      <c r="P63" s="6">
        <v>3044.46</v>
      </c>
      <c r="Q63" s="6">
        <v>0.0</v>
      </c>
      <c r="R63" s="6">
        <v>0.0</v>
      </c>
      <c r="S63" s="6">
        <v>3030.79</v>
      </c>
      <c r="T63" s="6">
        <v>3035.13</v>
      </c>
      <c r="U63" s="6">
        <v>3030.59</v>
      </c>
      <c r="V63" s="6">
        <v>3034.4</v>
      </c>
      <c r="W63" s="2" t="s">
        <v>70</v>
      </c>
      <c r="X63" s="7">
        <v>0.01</v>
      </c>
      <c r="Y63" s="6">
        <v>11.0</v>
      </c>
      <c r="Z63" s="6">
        <v>2.05</v>
      </c>
      <c r="AA63" s="8" t="s">
        <v>277</v>
      </c>
      <c r="AB63" s="8" t="s">
        <v>278</v>
      </c>
      <c r="AC63" s="8" t="s">
        <v>279</v>
      </c>
    </row>
    <row r="64">
      <c r="A64" s="2" t="s">
        <v>64</v>
      </c>
      <c r="B64" s="4">
        <v>45737.0</v>
      </c>
      <c r="C64" s="5">
        <v>0.3020833333333333</v>
      </c>
      <c r="D64" s="5">
        <v>0.375</v>
      </c>
      <c r="E64" s="2" t="s">
        <v>89</v>
      </c>
      <c r="F64" s="2" t="s">
        <v>66</v>
      </c>
      <c r="G64" s="2" t="s">
        <v>67</v>
      </c>
      <c r="H64" s="2" t="s">
        <v>68</v>
      </c>
      <c r="I64" s="6" t="s">
        <v>79</v>
      </c>
      <c r="J64" s="4">
        <v>45737.0</v>
      </c>
      <c r="K64" s="5">
        <v>0.22916666666666666</v>
      </c>
      <c r="L64" s="6">
        <v>3030.65</v>
      </c>
      <c r="M64" s="10"/>
      <c r="N64" s="10"/>
      <c r="O64" s="10"/>
      <c r="P64" s="6">
        <v>3046.42</v>
      </c>
      <c r="Q64" s="6">
        <v>0.0</v>
      </c>
      <c r="R64" s="6">
        <v>0.0</v>
      </c>
      <c r="S64" s="6">
        <v>3027.99</v>
      </c>
      <c r="T64" s="6">
        <v>3032.67</v>
      </c>
      <c r="U64" s="6">
        <v>3027.37</v>
      </c>
      <c r="V64" s="6">
        <v>3030.99</v>
      </c>
      <c r="W64" s="2" t="s">
        <v>70</v>
      </c>
      <c r="X64" s="7">
        <v>0.01</v>
      </c>
      <c r="Y64" s="6">
        <v>30.1</v>
      </c>
      <c r="Z64" s="6">
        <v>1.05</v>
      </c>
      <c r="AA64" s="8" t="s">
        <v>280</v>
      </c>
      <c r="AB64" s="8" t="s">
        <v>281</v>
      </c>
      <c r="AC64" s="8" t="s">
        <v>282</v>
      </c>
    </row>
    <row r="65">
      <c r="A65" s="2" t="s">
        <v>64</v>
      </c>
      <c r="B65" s="4">
        <v>45737.0</v>
      </c>
      <c r="C65" s="5">
        <v>0.59375</v>
      </c>
      <c r="D65" s="5">
        <v>0.6041666666666666</v>
      </c>
      <c r="E65" s="2" t="s">
        <v>89</v>
      </c>
      <c r="F65" s="2" t="s">
        <v>66</v>
      </c>
      <c r="G65" s="2" t="s">
        <v>75</v>
      </c>
      <c r="H65" s="2" t="s">
        <v>68</v>
      </c>
      <c r="I65" s="6" t="s">
        <v>79</v>
      </c>
      <c r="J65" s="4">
        <v>45737.0</v>
      </c>
      <c r="K65" s="5">
        <v>0.5625</v>
      </c>
      <c r="L65" s="6">
        <v>3035.26</v>
      </c>
      <c r="M65" s="10"/>
      <c r="N65" s="10"/>
      <c r="O65" s="10"/>
      <c r="P65" s="6">
        <v>3046.42</v>
      </c>
      <c r="Q65" s="6">
        <v>1.0</v>
      </c>
      <c r="R65" s="6">
        <v>0.0</v>
      </c>
      <c r="S65" s="6">
        <v>3033.9</v>
      </c>
      <c r="T65" s="6">
        <v>3036.72</v>
      </c>
      <c r="U65" s="6">
        <v>3032.96</v>
      </c>
      <c r="V65" s="6">
        <v>3035.78</v>
      </c>
      <c r="W65" s="2" t="s">
        <v>81</v>
      </c>
      <c r="X65" s="7">
        <v>-0.01</v>
      </c>
      <c r="Y65" s="6" t="s">
        <v>80</v>
      </c>
      <c r="Z65" s="6">
        <v>0.25</v>
      </c>
      <c r="AA65" s="8" t="s">
        <v>283</v>
      </c>
      <c r="AB65" s="8" t="s">
        <v>284</v>
      </c>
      <c r="AC65" s="8" t="s">
        <v>285</v>
      </c>
    </row>
    <row r="66">
      <c r="A66" s="2" t="s">
        <v>64</v>
      </c>
      <c r="B66" s="4">
        <v>45740.0</v>
      </c>
      <c r="C66" s="5">
        <v>0.6145833333333334</v>
      </c>
      <c r="D66" s="5">
        <v>0.625</v>
      </c>
      <c r="E66" s="2" t="s">
        <v>65</v>
      </c>
      <c r="F66" s="2" t="s">
        <v>78</v>
      </c>
      <c r="G66" s="2" t="s">
        <v>75</v>
      </c>
      <c r="H66" s="2" t="s">
        <v>68</v>
      </c>
      <c r="I66" s="6" t="s">
        <v>69</v>
      </c>
      <c r="J66" s="4">
        <v>45740.0</v>
      </c>
      <c r="K66" s="5">
        <v>0.2916666666666667</v>
      </c>
      <c r="L66" s="6">
        <v>3021.96</v>
      </c>
      <c r="M66" s="10"/>
      <c r="N66" s="10"/>
      <c r="O66" s="10"/>
      <c r="P66" s="6">
        <v>3016.28</v>
      </c>
      <c r="Q66" s="6">
        <v>3.0</v>
      </c>
      <c r="R66" s="6">
        <v>1.0</v>
      </c>
      <c r="S66" s="6">
        <v>3024.36</v>
      </c>
      <c r="T66" s="6">
        <v>3026.04</v>
      </c>
      <c r="U66" s="6">
        <v>3020.84</v>
      </c>
      <c r="V66" s="6">
        <v>3021.3</v>
      </c>
      <c r="W66" s="2" t="s">
        <v>81</v>
      </c>
      <c r="X66" s="7">
        <v>-0.01</v>
      </c>
      <c r="Y66" s="6" t="s">
        <v>80</v>
      </c>
      <c r="Z66" s="6">
        <v>0.52</v>
      </c>
      <c r="AA66" s="8" t="s">
        <v>286</v>
      </c>
      <c r="AB66" s="8" t="s">
        <v>287</v>
      </c>
      <c r="AC66" s="8" t="s">
        <v>288</v>
      </c>
    </row>
    <row r="67">
      <c r="A67" s="2" t="s">
        <v>64</v>
      </c>
      <c r="B67" s="4">
        <v>45741.0</v>
      </c>
      <c r="C67" s="5">
        <v>0.2604166666666667</v>
      </c>
      <c r="D67" s="5">
        <v>0.34375</v>
      </c>
      <c r="E67" s="2" t="s">
        <v>89</v>
      </c>
      <c r="F67" s="2" t="s">
        <v>90</v>
      </c>
      <c r="G67" s="2" t="s">
        <v>67</v>
      </c>
      <c r="H67" s="2" t="s">
        <v>68</v>
      </c>
      <c r="I67" s="6" t="s">
        <v>69</v>
      </c>
      <c r="J67" s="4">
        <v>45741.0</v>
      </c>
      <c r="K67" s="5">
        <v>0.22916666666666666</v>
      </c>
      <c r="L67" s="6">
        <v>3015.3</v>
      </c>
      <c r="M67" s="10"/>
      <c r="N67" s="10"/>
      <c r="O67" s="10"/>
      <c r="P67" s="6">
        <v>3024.36</v>
      </c>
      <c r="Q67" s="6">
        <v>2.0</v>
      </c>
      <c r="R67" s="6">
        <v>1.0</v>
      </c>
      <c r="S67" s="6">
        <v>3015.08</v>
      </c>
      <c r="T67" s="6">
        <v>3018.99</v>
      </c>
      <c r="U67" s="6">
        <v>3014.23</v>
      </c>
      <c r="V67" s="6">
        <v>3018.36</v>
      </c>
      <c r="W67" s="2" t="s">
        <v>81</v>
      </c>
      <c r="X67" s="7">
        <v>-0.01</v>
      </c>
      <c r="Y67" s="6" t="s">
        <v>80</v>
      </c>
      <c r="Z67" s="6">
        <v>0.6</v>
      </c>
      <c r="AA67" s="8" t="s">
        <v>289</v>
      </c>
      <c r="AB67" s="8" t="s">
        <v>290</v>
      </c>
      <c r="AC67" s="8" t="s">
        <v>291</v>
      </c>
    </row>
    <row r="68">
      <c r="A68" s="2" t="s">
        <v>64</v>
      </c>
      <c r="B68" s="4">
        <v>45741.0</v>
      </c>
      <c r="C68" s="5">
        <v>0.5208333333333334</v>
      </c>
      <c r="D68" s="5">
        <v>0.53125</v>
      </c>
      <c r="E68" s="2" t="s">
        <v>89</v>
      </c>
      <c r="F68" s="2" t="s">
        <v>90</v>
      </c>
      <c r="G68" s="2" t="s">
        <v>75</v>
      </c>
      <c r="H68" s="2" t="s">
        <v>68</v>
      </c>
      <c r="I68" s="6" t="s">
        <v>69</v>
      </c>
      <c r="J68" s="4">
        <v>45740.0</v>
      </c>
      <c r="K68" s="5">
        <v>0.6041666666666666</v>
      </c>
      <c r="L68" s="6">
        <v>3024.36</v>
      </c>
      <c r="M68" s="10"/>
      <c r="N68" s="10"/>
      <c r="O68" s="10"/>
      <c r="P68" s="6">
        <v>3035.26</v>
      </c>
      <c r="Q68" s="6">
        <v>5.0</v>
      </c>
      <c r="R68" s="6">
        <v>0.0</v>
      </c>
      <c r="S68" s="6">
        <v>3024.14</v>
      </c>
      <c r="T68" s="6">
        <v>3025.4</v>
      </c>
      <c r="U68" s="6">
        <v>3023.39</v>
      </c>
      <c r="V68" s="6">
        <v>3025.12</v>
      </c>
      <c r="W68" s="2" t="s">
        <v>81</v>
      </c>
      <c r="X68" s="7">
        <v>-0.01</v>
      </c>
      <c r="Y68" s="6" t="s">
        <v>80</v>
      </c>
      <c r="Z68" s="6">
        <v>0.75</v>
      </c>
      <c r="AA68" s="8" t="s">
        <v>292</v>
      </c>
      <c r="AB68" s="8" t="s">
        <v>293</v>
      </c>
      <c r="AC68" s="8" t="s">
        <v>294</v>
      </c>
    </row>
    <row r="69">
      <c r="A69" s="2" t="s">
        <v>64</v>
      </c>
      <c r="B69" s="4">
        <v>45742.0</v>
      </c>
      <c r="C69" s="5">
        <v>0.3645833333333333</v>
      </c>
      <c r="D69" s="5">
        <v>0.375</v>
      </c>
      <c r="E69" s="2" t="s">
        <v>89</v>
      </c>
      <c r="F69" s="2" t="s">
        <v>95</v>
      </c>
      <c r="G69" s="2" t="s">
        <v>67</v>
      </c>
      <c r="H69" s="2" t="s">
        <v>68</v>
      </c>
      <c r="I69" s="6" t="s">
        <v>79</v>
      </c>
      <c r="J69" s="4">
        <v>45741.0</v>
      </c>
      <c r="K69" s="5">
        <v>0.625</v>
      </c>
      <c r="L69" s="6">
        <v>3028.17</v>
      </c>
      <c r="M69" s="10"/>
      <c r="N69" s="10"/>
      <c r="O69" s="10"/>
      <c r="P69" s="6">
        <v>3035.26</v>
      </c>
      <c r="Q69" s="6">
        <v>1.0</v>
      </c>
      <c r="R69" s="6">
        <v>2.0</v>
      </c>
      <c r="S69" s="6">
        <v>3026.27</v>
      </c>
      <c r="T69" s="6">
        <v>3029.01</v>
      </c>
      <c r="U69" s="6">
        <v>3026.18</v>
      </c>
      <c r="V69" s="6">
        <v>3028.82</v>
      </c>
      <c r="W69" s="2" t="s">
        <v>70</v>
      </c>
      <c r="X69" s="7">
        <v>0.01</v>
      </c>
      <c r="Y69" s="6">
        <v>2.6</v>
      </c>
      <c r="Z69" s="6">
        <v>1.22</v>
      </c>
      <c r="AA69" s="8" t="s">
        <v>295</v>
      </c>
      <c r="AB69" s="8" t="s">
        <v>296</v>
      </c>
      <c r="AC69" s="8" t="s">
        <v>297</v>
      </c>
    </row>
    <row r="70">
      <c r="A70" s="2" t="s">
        <v>64</v>
      </c>
      <c r="B70" s="4">
        <v>45742.0</v>
      </c>
      <c r="C70" s="5">
        <v>0.59375</v>
      </c>
      <c r="D70" s="5">
        <v>0.6041666666666666</v>
      </c>
      <c r="E70" s="2" t="s">
        <v>65</v>
      </c>
      <c r="F70" s="2" t="s">
        <v>95</v>
      </c>
      <c r="G70" s="2" t="s">
        <v>75</v>
      </c>
      <c r="H70" s="2" t="s">
        <v>68</v>
      </c>
      <c r="I70" s="6" t="s">
        <v>79</v>
      </c>
      <c r="J70" s="4">
        <v>45742.0</v>
      </c>
      <c r="K70" s="5">
        <v>0.5625</v>
      </c>
      <c r="L70" s="6">
        <v>3025.72</v>
      </c>
      <c r="M70" s="10"/>
      <c r="N70" s="10"/>
      <c r="O70" s="10"/>
      <c r="P70" s="6">
        <v>3018.64</v>
      </c>
      <c r="Q70" s="6">
        <v>0.0</v>
      </c>
      <c r="R70" s="6">
        <v>0.0</v>
      </c>
      <c r="S70" s="6">
        <v>3026.98</v>
      </c>
      <c r="T70" s="6">
        <v>3027.45</v>
      </c>
      <c r="U70" s="6">
        <v>3023.92</v>
      </c>
      <c r="V70" s="6">
        <v>3025.47</v>
      </c>
      <c r="W70" s="2" t="s">
        <v>70</v>
      </c>
      <c r="X70" s="7">
        <v>0.01</v>
      </c>
      <c r="Y70" s="6">
        <v>3.6</v>
      </c>
      <c r="Z70" s="6">
        <v>2.05</v>
      </c>
      <c r="AA70" s="8" t="s">
        <v>298</v>
      </c>
      <c r="AB70" s="8" t="s">
        <v>299</v>
      </c>
      <c r="AC70" s="8" t="s">
        <v>300</v>
      </c>
      <c r="AD70" s="2" t="s">
        <v>301</v>
      </c>
    </row>
    <row r="71">
      <c r="A71" s="2" t="s">
        <v>64</v>
      </c>
      <c r="B71" s="4">
        <v>45743.0</v>
      </c>
      <c r="C71" s="5">
        <v>0.5729166666666666</v>
      </c>
      <c r="D71" s="5">
        <v>0.5833333333333334</v>
      </c>
      <c r="E71" s="2" t="s">
        <v>65</v>
      </c>
      <c r="F71" s="2" t="s">
        <v>103</v>
      </c>
      <c r="G71" s="2" t="s">
        <v>75</v>
      </c>
      <c r="H71" s="2" t="s">
        <v>68</v>
      </c>
      <c r="I71" s="6" t="s">
        <v>69</v>
      </c>
      <c r="J71" s="4">
        <v>45743.0</v>
      </c>
      <c r="K71" s="5">
        <v>0.5208333333333334</v>
      </c>
      <c r="L71" s="6">
        <v>3049.73</v>
      </c>
      <c r="M71" s="10"/>
      <c r="N71" s="10"/>
      <c r="O71" s="10"/>
      <c r="P71" s="6">
        <v>3035.69</v>
      </c>
      <c r="Q71" s="6">
        <v>1.0</v>
      </c>
      <c r="R71" s="6">
        <v>0.0</v>
      </c>
      <c r="S71" s="6">
        <v>3050.56</v>
      </c>
      <c r="T71" s="6">
        <v>3052.05</v>
      </c>
      <c r="U71" s="6">
        <v>3046.96</v>
      </c>
      <c r="V71" s="6">
        <v>3049.7</v>
      </c>
      <c r="W71" s="2" t="s">
        <v>81</v>
      </c>
      <c r="X71" s="7">
        <v>-0.01</v>
      </c>
      <c r="Y71" s="6" t="s">
        <v>80</v>
      </c>
      <c r="Z71" s="6">
        <v>0.43</v>
      </c>
      <c r="AA71" s="8" t="s">
        <v>302</v>
      </c>
      <c r="AB71" s="8" t="s">
        <v>303</v>
      </c>
      <c r="AC71" s="8" t="s">
        <v>304</v>
      </c>
    </row>
    <row r="72">
      <c r="A72" s="2" t="s">
        <v>64</v>
      </c>
      <c r="B72" s="4">
        <v>45744.0</v>
      </c>
      <c r="C72" s="5">
        <v>0.2708333333333333</v>
      </c>
      <c r="D72" s="5">
        <v>0.28125</v>
      </c>
      <c r="E72" s="2" t="s">
        <v>89</v>
      </c>
      <c r="F72" s="2" t="s">
        <v>66</v>
      </c>
      <c r="G72" s="2" t="s">
        <v>67</v>
      </c>
      <c r="H72" s="2" t="s">
        <v>68</v>
      </c>
      <c r="I72" s="6" t="s">
        <v>69</v>
      </c>
      <c r="J72" s="4">
        <v>45744.0</v>
      </c>
      <c r="K72" s="5">
        <v>0.14583333333333334</v>
      </c>
      <c r="L72" s="6">
        <v>3075.45</v>
      </c>
      <c r="M72" s="10"/>
      <c r="N72" s="10"/>
      <c r="O72" s="10"/>
      <c r="P72" s="6" t="s">
        <v>80</v>
      </c>
      <c r="Q72" s="6">
        <v>1.0</v>
      </c>
      <c r="R72" s="6" t="s">
        <v>80</v>
      </c>
      <c r="S72" s="6">
        <v>3072.92</v>
      </c>
      <c r="T72" s="6">
        <v>3076.81</v>
      </c>
      <c r="U72" s="6">
        <v>3072.88</v>
      </c>
      <c r="V72" s="6">
        <v>3076.4</v>
      </c>
      <c r="W72" s="2" t="s">
        <v>70</v>
      </c>
      <c r="X72" s="7">
        <v>0.01</v>
      </c>
      <c r="Y72" s="6">
        <v>5.1</v>
      </c>
      <c r="Z72" s="6">
        <v>2.71</v>
      </c>
      <c r="AA72" s="8" t="s">
        <v>305</v>
      </c>
      <c r="AB72" s="8" t="s">
        <v>306</v>
      </c>
      <c r="AC72" s="8" t="s">
        <v>307</v>
      </c>
    </row>
    <row r="73">
      <c r="A73" s="2" t="s">
        <v>64</v>
      </c>
      <c r="B73" s="4">
        <v>45747.0</v>
      </c>
      <c r="C73" s="5">
        <v>0.3229166666666667</v>
      </c>
      <c r="D73" s="5">
        <v>0.3333333333333333</v>
      </c>
      <c r="E73" s="2" t="s">
        <v>89</v>
      </c>
      <c r="F73" s="2" t="s">
        <v>78</v>
      </c>
      <c r="G73" s="2" t="s">
        <v>67</v>
      </c>
      <c r="H73" s="2" t="s">
        <v>68</v>
      </c>
      <c r="I73" s="6" t="s">
        <v>69</v>
      </c>
      <c r="J73" s="4">
        <v>45747.0</v>
      </c>
      <c r="K73" s="5">
        <v>0.2916666666666667</v>
      </c>
      <c r="L73" s="6">
        <v>3113.35</v>
      </c>
      <c r="M73" s="10"/>
      <c r="N73" s="10"/>
      <c r="O73" s="10"/>
      <c r="P73" s="6" t="s">
        <v>80</v>
      </c>
      <c r="Q73" s="6">
        <v>0.0</v>
      </c>
      <c r="R73" s="6" t="s">
        <v>80</v>
      </c>
      <c r="S73" s="6">
        <v>3111.83</v>
      </c>
      <c r="T73" s="6">
        <v>3114.5</v>
      </c>
      <c r="U73" s="6">
        <v>3110.41</v>
      </c>
      <c r="V73" s="6">
        <v>3113.42</v>
      </c>
      <c r="W73" s="2" t="s">
        <v>70</v>
      </c>
      <c r="X73" s="7">
        <v>0.01</v>
      </c>
      <c r="Y73" s="6">
        <v>19.8</v>
      </c>
      <c r="Z73" s="6">
        <v>4.8</v>
      </c>
      <c r="AA73" s="8" t="s">
        <v>308</v>
      </c>
      <c r="AB73" s="8" t="s">
        <v>309</v>
      </c>
      <c r="AC73" s="8" t="s">
        <v>310</v>
      </c>
    </row>
    <row r="74">
      <c r="A74" s="2" t="s">
        <v>64</v>
      </c>
      <c r="B74" s="4">
        <v>45747.0</v>
      </c>
      <c r="C74" s="5">
        <v>0.5833333333333334</v>
      </c>
      <c r="D74" s="5">
        <v>0.59375</v>
      </c>
      <c r="E74" s="2" t="s">
        <v>89</v>
      </c>
      <c r="F74" s="2" t="s">
        <v>78</v>
      </c>
      <c r="G74" s="2" t="s">
        <v>75</v>
      </c>
      <c r="H74" s="2" t="s">
        <v>68</v>
      </c>
      <c r="I74" s="6" t="s">
        <v>79</v>
      </c>
      <c r="J74" s="4">
        <v>45747.0</v>
      </c>
      <c r="K74" s="5">
        <v>0.5416666666666666</v>
      </c>
      <c r="L74" s="6">
        <v>3118.38</v>
      </c>
      <c r="M74" s="10"/>
      <c r="N74" s="10"/>
      <c r="O74" s="10"/>
      <c r="P74" s="6">
        <v>3124.36</v>
      </c>
      <c r="Q74" s="6">
        <v>2.0</v>
      </c>
      <c r="R74" s="6">
        <v>0.0</v>
      </c>
      <c r="S74" s="6">
        <v>3117.82</v>
      </c>
      <c r="T74" s="6">
        <v>3119.57</v>
      </c>
      <c r="U74" s="6">
        <v>3116.39</v>
      </c>
      <c r="V74" s="6">
        <v>3119.46</v>
      </c>
      <c r="W74" s="2" t="s">
        <v>70</v>
      </c>
      <c r="X74" s="7">
        <v>0.01</v>
      </c>
      <c r="Y74" s="6">
        <v>14.6</v>
      </c>
      <c r="Z74" s="6">
        <v>1.59</v>
      </c>
      <c r="AA74" s="8" t="s">
        <v>311</v>
      </c>
      <c r="AB74" s="8" t="s">
        <v>312</v>
      </c>
      <c r="AC74" s="8" t="s">
        <v>313</v>
      </c>
      <c r="AD74" s="2" t="s">
        <v>314</v>
      </c>
    </row>
    <row r="75">
      <c r="A75" s="2" t="s">
        <v>64</v>
      </c>
      <c r="B75" s="4">
        <v>45748.0</v>
      </c>
      <c r="C75" s="5">
        <v>0.3020833333333333</v>
      </c>
      <c r="D75" s="5">
        <v>0.3125</v>
      </c>
      <c r="E75" s="2" t="s">
        <v>65</v>
      </c>
      <c r="F75" s="2" t="s">
        <v>90</v>
      </c>
      <c r="G75" s="2" t="s">
        <v>67</v>
      </c>
      <c r="H75" s="2" t="s">
        <v>68</v>
      </c>
      <c r="I75" s="6" t="s">
        <v>69</v>
      </c>
      <c r="J75" s="4">
        <v>45748.0</v>
      </c>
      <c r="K75" s="5">
        <v>0.2708333333333333</v>
      </c>
      <c r="L75" s="6">
        <v>3143.68</v>
      </c>
      <c r="M75" s="10"/>
      <c r="N75" s="10"/>
      <c r="O75" s="10"/>
      <c r="P75" s="6">
        <v>3120.36</v>
      </c>
      <c r="Q75" s="6">
        <v>0.0</v>
      </c>
      <c r="R75" s="6">
        <v>0.0</v>
      </c>
      <c r="S75" s="6">
        <v>3144.65</v>
      </c>
      <c r="T75" s="6">
        <v>3145.13</v>
      </c>
      <c r="U75" s="6">
        <v>3141.53</v>
      </c>
      <c r="V75" s="6">
        <v>3142.57</v>
      </c>
      <c r="W75" s="2" t="s">
        <v>81</v>
      </c>
      <c r="X75" s="7">
        <v>-0.01</v>
      </c>
      <c r="Y75" s="6" t="s">
        <v>80</v>
      </c>
      <c r="Z75" s="6">
        <v>0.0</v>
      </c>
      <c r="AA75" s="8" t="s">
        <v>315</v>
      </c>
      <c r="AB75" s="8" t="s">
        <v>316</v>
      </c>
      <c r="AC75" s="8" t="s">
        <v>317</v>
      </c>
    </row>
    <row r="76">
      <c r="A76" s="2" t="s">
        <v>64</v>
      </c>
      <c r="B76" s="4">
        <v>45749.0</v>
      </c>
      <c r="C76" s="5">
        <v>0.3645833333333333</v>
      </c>
      <c r="D76" s="5">
        <v>0.375</v>
      </c>
      <c r="E76" s="2" t="s">
        <v>89</v>
      </c>
      <c r="F76" s="2" t="s">
        <v>90</v>
      </c>
      <c r="G76" s="2" t="s">
        <v>67</v>
      </c>
      <c r="H76" s="2" t="s">
        <v>68</v>
      </c>
      <c r="I76" s="6" t="s">
        <v>79</v>
      </c>
      <c r="J76" s="4">
        <v>45749.0</v>
      </c>
      <c r="K76" s="5">
        <v>0.3333333333333333</v>
      </c>
      <c r="L76" s="6">
        <v>3117.92</v>
      </c>
      <c r="M76" s="10"/>
      <c r="N76" s="10"/>
      <c r="O76" s="10"/>
      <c r="P76" s="6">
        <v>3129.23</v>
      </c>
      <c r="Q76" s="6">
        <v>1.0</v>
      </c>
      <c r="R76" s="6">
        <v>0.0</v>
      </c>
      <c r="S76" s="6">
        <v>3116.35</v>
      </c>
      <c r="T76" s="6">
        <v>3118.79</v>
      </c>
      <c r="U76" s="6">
        <v>3114.56</v>
      </c>
      <c r="V76" s="6">
        <v>3118.35</v>
      </c>
      <c r="W76" s="2" t="s">
        <v>81</v>
      </c>
      <c r="X76" s="7">
        <v>-0.01</v>
      </c>
      <c r="Y76" s="6" t="s">
        <v>80</v>
      </c>
      <c r="Z76" s="6">
        <v>0.16</v>
      </c>
      <c r="AA76" s="8" t="s">
        <v>318</v>
      </c>
      <c r="AB76" s="8" t="s">
        <v>319</v>
      </c>
      <c r="AC76" s="8" t="s">
        <v>320</v>
      </c>
    </row>
    <row r="77">
      <c r="A77" s="2" t="s">
        <v>64</v>
      </c>
      <c r="B77" s="4">
        <v>45749.0</v>
      </c>
      <c r="C77" s="5">
        <v>0.65625</v>
      </c>
      <c r="D77" s="5">
        <v>0.6666666666666666</v>
      </c>
      <c r="E77" s="2" t="s">
        <v>89</v>
      </c>
      <c r="F77" s="2" t="s">
        <v>90</v>
      </c>
      <c r="G77" s="2" t="s">
        <v>75</v>
      </c>
      <c r="H77" s="2" t="s">
        <v>68</v>
      </c>
      <c r="I77" s="6" t="s">
        <v>79</v>
      </c>
      <c r="J77" s="4">
        <v>45749.0</v>
      </c>
      <c r="K77" s="5">
        <v>0.6041666666666666</v>
      </c>
      <c r="L77" s="6">
        <v>3125.85</v>
      </c>
      <c r="M77" s="10"/>
      <c r="N77" s="10"/>
      <c r="O77" s="10"/>
      <c r="P77" s="6">
        <v>3131.21</v>
      </c>
      <c r="Q77" s="6">
        <v>2.0</v>
      </c>
      <c r="R77" s="6">
        <v>4.0</v>
      </c>
      <c r="S77" s="6">
        <v>3125.67</v>
      </c>
      <c r="T77" s="6">
        <v>3132.07</v>
      </c>
      <c r="U77" s="6">
        <v>3124.73</v>
      </c>
      <c r="V77" s="6">
        <v>3127.35</v>
      </c>
      <c r="W77" s="2" t="s">
        <v>81</v>
      </c>
      <c r="X77" s="7">
        <v>-0.01</v>
      </c>
      <c r="Y77" s="6" t="s">
        <v>80</v>
      </c>
      <c r="Z77" s="6" t="s">
        <v>80</v>
      </c>
      <c r="AA77" s="8" t="s">
        <v>321</v>
      </c>
      <c r="AB77" s="8" t="s">
        <v>322</v>
      </c>
      <c r="AC77" s="8" t="s">
        <v>323</v>
      </c>
    </row>
    <row r="78">
      <c r="A78" s="2" t="s">
        <v>64</v>
      </c>
      <c r="B78" s="4">
        <v>45754.0</v>
      </c>
      <c r="C78" s="5">
        <v>0.3541666666666667</v>
      </c>
      <c r="D78" s="5">
        <v>0.375</v>
      </c>
      <c r="E78" s="2" t="s">
        <v>65</v>
      </c>
      <c r="F78" s="2" t="s">
        <v>78</v>
      </c>
      <c r="G78" s="2" t="s">
        <v>67</v>
      </c>
      <c r="H78" s="2" t="s">
        <v>68</v>
      </c>
      <c r="I78" s="2" t="s">
        <v>79</v>
      </c>
      <c r="J78" s="4">
        <v>45754.0</v>
      </c>
      <c r="K78" s="5">
        <v>0.25</v>
      </c>
      <c r="L78" s="6">
        <v>3018.78</v>
      </c>
      <c r="P78" s="6">
        <v>2978.72</v>
      </c>
      <c r="Q78" s="6">
        <v>0.0</v>
      </c>
      <c r="R78" s="6">
        <v>0.0</v>
      </c>
      <c r="S78" s="6">
        <v>3026.72</v>
      </c>
      <c r="T78" s="6">
        <v>3027.99</v>
      </c>
      <c r="U78" s="6">
        <v>3016.51</v>
      </c>
      <c r="V78" s="6">
        <v>3018.53</v>
      </c>
      <c r="W78" s="2" t="s">
        <v>81</v>
      </c>
      <c r="X78" s="7">
        <v>-0.01</v>
      </c>
      <c r="Y78" s="6" t="s">
        <v>80</v>
      </c>
      <c r="Z78" s="2">
        <v>0.21</v>
      </c>
      <c r="AA78" s="8" t="s">
        <v>324</v>
      </c>
      <c r="AB78" s="8" t="s">
        <v>325</v>
      </c>
      <c r="AC78" s="8" t="s">
        <v>326</v>
      </c>
    </row>
    <row r="79">
      <c r="A79" s="2" t="s">
        <v>64</v>
      </c>
      <c r="B79" s="4">
        <v>45754.0</v>
      </c>
      <c r="C79" s="5">
        <v>0.5208333333333334</v>
      </c>
      <c r="D79" s="5">
        <v>0.5416666666666666</v>
      </c>
      <c r="E79" s="2" t="s">
        <v>89</v>
      </c>
      <c r="F79" s="2" t="s">
        <v>78</v>
      </c>
      <c r="G79" s="2" t="s">
        <v>75</v>
      </c>
      <c r="H79" s="2" t="s">
        <v>68</v>
      </c>
      <c r="I79" s="6" t="s">
        <v>79</v>
      </c>
      <c r="J79" s="4">
        <v>45754.0</v>
      </c>
      <c r="K79" s="5">
        <v>0.4583333333333333</v>
      </c>
      <c r="L79" s="6">
        <v>3031.43</v>
      </c>
      <c r="M79" s="10"/>
      <c r="N79" s="10"/>
      <c r="O79" s="10"/>
      <c r="P79" s="6">
        <v>3042.59</v>
      </c>
      <c r="Q79" s="6">
        <v>1.0</v>
      </c>
      <c r="R79" s="6">
        <v>2.0</v>
      </c>
      <c r="S79" s="6">
        <v>3026.61</v>
      </c>
      <c r="T79" s="6">
        <v>3033.2</v>
      </c>
      <c r="U79" s="6">
        <v>3026.26</v>
      </c>
      <c r="V79" s="6">
        <v>3032.63</v>
      </c>
      <c r="W79" s="2" t="s">
        <v>70</v>
      </c>
      <c r="X79" s="7">
        <v>0.01</v>
      </c>
      <c r="Y79" s="6">
        <v>27.0</v>
      </c>
      <c r="Z79" s="6">
        <v>1.57</v>
      </c>
      <c r="AA79" s="8" t="s">
        <v>327</v>
      </c>
      <c r="AB79" s="8" t="s">
        <v>328</v>
      </c>
      <c r="AC79" s="8" t="s">
        <v>329</v>
      </c>
      <c r="AD79" s="2" t="s">
        <v>330</v>
      </c>
    </row>
    <row r="80">
      <c r="A80" s="2" t="s">
        <v>64</v>
      </c>
      <c r="B80" s="4">
        <v>45755.0</v>
      </c>
      <c r="C80" s="5">
        <v>0.2916666666666667</v>
      </c>
      <c r="D80" s="5">
        <v>0.34375</v>
      </c>
      <c r="E80" s="2" t="s">
        <v>89</v>
      </c>
      <c r="F80" s="2" t="s">
        <v>90</v>
      </c>
      <c r="G80" s="2" t="s">
        <v>67</v>
      </c>
      <c r="H80" s="2" t="s">
        <v>68</v>
      </c>
      <c r="I80" s="6" t="s">
        <v>79</v>
      </c>
      <c r="J80" s="4">
        <v>45755.0</v>
      </c>
      <c r="K80" s="5">
        <v>0.20833333333333334</v>
      </c>
      <c r="L80" s="6">
        <v>3000.99</v>
      </c>
      <c r="M80" s="10"/>
      <c r="N80" s="10"/>
      <c r="O80" s="10"/>
      <c r="P80" s="6">
        <v>3031.21</v>
      </c>
      <c r="Q80" s="6">
        <v>0.0</v>
      </c>
      <c r="R80" s="6">
        <v>2.0</v>
      </c>
      <c r="S80" s="6">
        <v>2995.25</v>
      </c>
      <c r="T80" s="6">
        <v>3002.92</v>
      </c>
      <c r="U80" s="6">
        <v>2994.42</v>
      </c>
      <c r="V80" s="6">
        <v>3002.23</v>
      </c>
      <c r="W80" s="2" t="s">
        <v>70</v>
      </c>
      <c r="X80" s="7">
        <v>0.01</v>
      </c>
      <c r="Y80" s="6">
        <v>29.5</v>
      </c>
      <c r="Z80" s="6">
        <v>1.75</v>
      </c>
      <c r="AA80" s="8" t="s">
        <v>331</v>
      </c>
      <c r="AB80" s="8" t="s">
        <v>332</v>
      </c>
      <c r="AC80" s="8" t="s">
        <v>333</v>
      </c>
    </row>
    <row r="81">
      <c r="A81" s="2" t="s">
        <v>64</v>
      </c>
      <c r="B81" s="4">
        <v>45755.0</v>
      </c>
      <c r="C81" s="5">
        <v>0.5833333333333334</v>
      </c>
      <c r="D81" s="5">
        <v>0.6041666666666666</v>
      </c>
      <c r="E81" s="2" t="s">
        <v>89</v>
      </c>
      <c r="F81" s="2" t="s">
        <v>90</v>
      </c>
      <c r="G81" s="2" t="s">
        <v>75</v>
      </c>
      <c r="H81" s="2" t="s">
        <v>68</v>
      </c>
      <c r="I81" s="6" t="s">
        <v>69</v>
      </c>
      <c r="J81" s="4">
        <v>45755.0</v>
      </c>
      <c r="K81" s="5">
        <v>0.375</v>
      </c>
      <c r="L81" s="6">
        <v>3013.19</v>
      </c>
      <c r="M81" s="10"/>
      <c r="N81" s="10"/>
      <c r="O81" s="10"/>
      <c r="P81" s="6">
        <v>3031.21</v>
      </c>
      <c r="Q81" s="6">
        <v>3.0</v>
      </c>
      <c r="R81" s="6">
        <v>2.0</v>
      </c>
      <c r="S81" s="6">
        <v>3009.32</v>
      </c>
      <c r="T81" s="6">
        <v>3019.58</v>
      </c>
      <c r="U81" s="6">
        <v>3009.19</v>
      </c>
      <c r="V81" s="6">
        <v>3017.43</v>
      </c>
      <c r="W81" s="2" t="s">
        <v>81</v>
      </c>
      <c r="X81" s="7">
        <v>-0.01</v>
      </c>
      <c r="Y81" s="6" t="s">
        <v>80</v>
      </c>
      <c r="Z81" s="6">
        <v>0.24</v>
      </c>
      <c r="AA81" s="8" t="s">
        <v>334</v>
      </c>
      <c r="AB81" s="8" t="s">
        <v>335</v>
      </c>
      <c r="AC81" s="8" t="s">
        <v>336</v>
      </c>
      <c r="AD81" s="2" t="s">
        <v>337</v>
      </c>
    </row>
    <row r="82">
      <c r="A82" s="2" t="s">
        <v>64</v>
      </c>
      <c r="B82" s="4">
        <v>45756.0</v>
      </c>
      <c r="C82" s="5">
        <v>0.34375</v>
      </c>
      <c r="D82" s="5">
        <v>0.3541666666666667</v>
      </c>
      <c r="E82" s="2" t="s">
        <v>89</v>
      </c>
      <c r="F82" s="2" t="s">
        <v>95</v>
      </c>
      <c r="G82" s="2" t="s">
        <v>67</v>
      </c>
      <c r="H82" s="2" t="s">
        <v>68</v>
      </c>
      <c r="I82" s="6" t="s">
        <v>69</v>
      </c>
      <c r="J82" s="4">
        <v>45756.0</v>
      </c>
      <c r="K82" s="5">
        <v>0.3125</v>
      </c>
      <c r="L82" s="6">
        <v>3017.22</v>
      </c>
      <c r="M82" s="10"/>
      <c r="N82" s="10"/>
      <c r="O82" s="10"/>
      <c r="P82" s="6">
        <v>3031.21</v>
      </c>
      <c r="Q82" s="6">
        <v>0.0</v>
      </c>
      <c r="R82" s="6">
        <v>2.0</v>
      </c>
      <c r="S82" s="6">
        <v>3015.17</v>
      </c>
      <c r="T82" s="6">
        <v>3025.16</v>
      </c>
      <c r="U82" s="6">
        <v>3014.45</v>
      </c>
      <c r="V82" s="6">
        <v>3020.24</v>
      </c>
      <c r="W82" s="2" t="s">
        <v>70</v>
      </c>
      <c r="X82" s="7">
        <v>0.01</v>
      </c>
      <c r="Y82" s="6">
        <v>8.0</v>
      </c>
      <c r="Z82" s="6">
        <v>1.91</v>
      </c>
      <c r="AA82" s="8" t="s">
        <v>338</v>
      </c>
      <c r="AB82" s="8" t="s">
        <v>339</v>
      </c>
      <c r="AC82" s="8" t="s">
        <v>340</v>
      </c>
      <c r="AD82" s="2" t="s">
        <v>341</v>
      </c>
    </row>
    <row r="83">
      <c r="A83" s="2" t="s">
        <v>64</v>
      </c>
      <c r="B83" s="4">
        <v>45756.0</v>
      </c>
      <c r="C83" s="5">
        <v>0.5520833333333334</v>
      </c>
      <c r="D83" s="5">
        <v>0.5625</v>
      </c>
      <c r="E83" s="2" t="s">
        <v>89</v>
      </c>
      <c r="F83" s="2" t="s">
        <v>95</v>
      </c>
      <c r="G83" s="2" t="s">
        <v>75</v>
      </c>
      <c r="H83" s="2" t="s">
        <v>68</v>
      </c>
      <c r="I83" s="6" t="s">
        <v>69</v>
      </c>
      <c r="J83" s="4">
        <v>45756.0</v>
      </c>
      <c r="K83" s="5">
        <v>0.5</v>
      </c>
      <c r="L83" s="6">
        <v>3044.81</v>
      </c>
      <c r="M83" s="10"/>
      <c r="N83" s="10"/>
      <c r="O83" s="10"/>
      <c r="P83" s="6">
        <v>3075.72</v>
      </c>
      <c r="Q83" s="6">
        <v>1.0</v>
      </c>
      <c r="R83" s="6">
        <v>1.0</v>
      </c>
      <c r="S83" s="6">
        <v>3042.83</v>
      </c>
      <c r="T83" s="6">
        <v>3045.81</v>
      </c>
      <c r="U83" s="6">
        <v>3035.69</v>
      </c>
      <c r="V83" s="6">
        <v>3045.43</v>
      </c>
      <c r="W83" s="2" t="s">
        <v>70</v>
      </c>
      <c r="X83" s="7">
        <v>0.01</v>
      </c>
      <c r="Y83" s="6">
        <v>2.2</v>
      </c>
      <c r="Z83" s="6">
        <v>2.83</v>
      </c>
      <c r="AA83" s="8" t="s">
        <v>342</v>
      </c>
      <c r="AB83" s="8" t="s">
        <v>343</v>
      </c>
      <c r="AC83" s="8" t="s">
        <v>344</v>
      </c>
    </row>
    <row r="84">
      <c r="A84" s="2" t="s">
        <v>64</v>
      </c>
      <c r="B84" s="4">
        <v>45757.0</v>
      </c>
      <c r="C84" s="5">
        <v>0.3020833333333333</v>
      </c>
      <c r="D84" s="5">
        <v>0.3125</v>
      </c>
      <c r="E84" s="2" t="s">
        <v>89</v>
      </c>
      <c r="F84" s="2" t="s">
        <v>103</v>
      </c>
      <c r="G84" s="2" t="s">
        <v>67</v>
      </c>
      <c r="H84" s="2" t="s">
        <v>68</v>
      </c>
      <c r="I84" s="6" t="s">
        <v>69</v>
      </c>
      <c r="J84" s="4">
        <v>45757.0</v>
      </c>
      <c r="K84" s="5">
        <v>0.3020833333333333</v>
      </c>
      <c r="L84" s="6">
        <v>3126.7</v>
      </c>
      <c r="M84" s="10"/>
      <c r="N84" s="10"/>
      <c r="O84" s="10"/>
      <c r="P84" s="6">
        <v>3148.18</v>
      </c>
      <c r="Q84" s="6">
        <v>1.0</v>
      </c>
      <c r="R84" s="6">
        <v>1.0</v>
      </c>
      <c r="S84" s="6">
        <v>3125.07</v>
      </c>
      <c r="T84" s="6">
        <v>3132.56</v>
      </c>
      <c r="U84" s="6">
        <v>3124.45</v>
      </c>
      <c r="V84" s="6">
        <v>3129.48</v>
      </c>
      <c r="W84" s="2" t="s">
        <v>81</v>
      </c>
      <c r="X84" s="7">
        <v>-0.01</v>
      </c>
      <c r="Y84" s="6" t="s">
        <v>80</v>
      </c>
      <c r="Z84" s="6">
        <v>0.2</v>
      </c>
      <c r="AA84" s="8" t="s">
        <v>345</v>
      </c>
      <c r="AB84" s="8" t="s">
        <v>346</v>
      </c>
      <c r="AC84" s="8" t="s">
        <v>347</v>
      </c>
    </row>
    <row r="85">
      <c r="A85" s="2" t="s">
        <v>64</v>
      </c>
      <c r="B85" s="4">
        <v>45757.0</v>
      </c>
      <c r="C85" s="5">
        <v>0.6354166666666666</v>
      </c>
      <c r="D85" s="5">
        <v>0.6458333333333334</v>
      </c>
      <c r="E85" s="2" t="s">
        <v>89</v>
      </c>
      <c r="F85" s="2" t="s">
        <v>103</v>
      </c>
      <c r="G85" s="2" t="s">
        <v>75</v>
      </c>
      <c r="H85" s="2" t="s">
        <v>68</v>
      </c>
      <c r="I85" s="6" t="s">
        <v>69</v>
      </c>
      <c r="J85" s="4">
        <v>45757.0</v>
      </c>
      <c r="K85" s="5">
        <v>0.6041666666666666</v>
      </c>
      <c r="L85" s="6">
        <v>3125.01</v>
      </c>
      <c r="M85" s="10"/>
      <c r="N85" s="10"/>
      <c r="O85" s="10"/>
      <c r="P85" s="6">
        <v>3148.18</v>
      </c>
      <c r="Q85" s="6">
        <v>2.0</v>
      </c>
      <c r="R85" s="6">
        <v>0.0</v>
      </c>
      <c r="S85" s="6">
        <v>3122.97</v>
      </c>
      <c r="T85" s="6">
        <v>3127.46</v>
      </c>
      <c r="U85" s="6">
        <v>3120.92</v>
      </c>
      <c r="V85" s="6">
        <v>3125.67</v>
      </c>
      <c r="W85" s="2" t="s">
        <v>70</v>
      </c>
      <c r="X85" s="7">
        <v>0.01</v>
      </c>
      <c r="Y85" s="6" t="s">
        <v>80</v>
      </c>
      <c r="Z85" s="6">
        <v>2.31</v>
      </c>
      <c r="AA85" s="8" t="s">
        <v>348</v>
      </c>
      <c r="AB85" s="8" t="s">
        <v>349</v>
      </c>
      <c r="AC85" s="8" t="s">
        <v>350</v>
      </c>
    </row>
    <row r="86">
      <c r="A86" s="2" t="s">
        <v>64</v>
      </c>
      <c r="B86" s="4">
        <v>45758.0</v>
      </c>
      <c r="C86" s="5">
        <v>0.5416666666666666</v>
      </c>
      <c r="D86" s="5">
        <v>0.5520833333333334</v>
      </c>
      <c r="E86" s="2" t="s">
        <v>65</v>
      </c>
      <c r="F86" s="2" t="s">
        <v>66</v>
      </c>
      <c r="G86" s="2" t="s">
        <v>75</v>
      </c>
      <c r="H86" s="2" t="s">
        <v>68</v>
      </c>
      <c r="I86" s="6" t="s">
        <v>69</v>
      </c>
      <c r="J86" s="4">
        <v>45758.0</v>
      </c>
      <c r="K86" s="5">
        <v>0.4791666666666667</v>
      </c>
      <c r="L86" s="6">
        <v>3214.95</v>
      </c>
      <c r="M86" s="10"/>
      <c r="N86" s="10"/>
      <c r="O86" s="10"/>
      <c r="P86" s="6">
        <v>3195.66</v>
      </c>
      <c r="Q86" s="6">
        <v>1.0</v>
      </c>
      <c r="R86" s="6">
        <v>2.0</v>
      </c>
      <c r="S86" s="6">
        <v>3215.78</v>
      </c>
      <c r="T86" s="6">
        <v>3217.22</v>
      </c>
      <c r="U86" s="6">
        <v>3210.09</v>
      </c>
      <c r="V86" s="6">
        <v>3212.22</v>
      </c>
      <c r="W86" s="2" t="s">
        <v>81</v>
      </c>
      <c r="X86" s="7">
        <v>-0.01</v>
      </c>
      <c r="Y86" s="6" t="s">
        <v>80</v>
      </c>
      <c r="Z86" s="6">
        <v>0.14</v>
      </c>
      <c r="AA86" s="8" t="s">
        <v>351</v>
      </c>
      <c r="AB86" s="8" t="s">
        <v>352</v>
      </c>
      <c r="AC86" s="8" t="s">
        <v>353</v>
      </c>
    </row>
    <row r="87">
      <c r="A87" s="2" t="s">
        <v>64</v>
      </c>
      <c r="B87" s="4">
        <v>45761.0</v>
      </c>
      <c r="C87" s="5">
        <v>0.25</v>
      </c>
      <c r="D87" s="5">
        <v>0.2604166666666667</v>
      </c>
      <c r="E87" s="2" t="s">
        <v>89</v>
      </c>
      <c r="F87" s="2" t="s">
        <v>78</v>
      </c>
      <c r="G87" s="2" t="s">
        <v>67</v>
      </c>
      <c r="H87" s="2" t="s">
        <v>68</v>
      </c>
      <c r="I87" s="6" t="s">
        <v>69</v>
      </c>
      <c r="J87" s="4">
        <v>45761.0</v>
      </c>
      <c r="K87" s="5">
        <v>0.22916666666666666</v>
      </c>
      <c r="L87" s="6">
        <v>3232.74</v>
      </c>
      <c r="M87" s="10"/>
      <c r="N87" s="10"/>
      <c r="O87" s="10"/>
      <c r="P87" s="6" t="s">
        <v>80</v>
      </c>
      <c r="Q87" s="6">
        <v>2.0</v>
      </c>
      <c r="R87" s="6" t="s">
        <v>80</v>
      </c>
      <c r="S87" s="6">
        <v>3232.24</v>
      </c>
      <c r="T87" s="6">
        <v>3235.72</v>
      </c>
      <c r="U87" s="6">
        <v>3231.89</v>
      </c>
      <c r="V87" s="6">
        <v>3234.57</v>
      </c>
      <c r="W87" s="2" t="s">
        <v>81</v>
      </c>
      <c r="X87" s="7">
        <v>-0.01</v>
      </c>
      <c r="Y87" s="6" t="s">
        <v>80</v>
      </c>
      <c r="Z87" s="6">
        <v>0.24</v>
      </c>
      <c r="AA87" s="8" t="s">
        <v>354</v>
      </c>
      <c r="AB87" s="8" t="s">
        <v>355</v>
      </c>
      <c r="AC87" s="8" t="s">
        <v>356</v>
      </c>
    </row>
    <row r="88">
      <c r="A88" s="2" t="s">
        <v>64</v>
      </c>
      <c r="B88" s="4">
        <v>45761.0</v>
      </c>
      <c r="C88" s="5">
        <v>0.6145833333333334</v>
      </c>
      <c r="D88" s="5">
        <v>0.625</v>
      </c>
      <c r="E88" s="2" t="s">
        <v>65</v>
      </c>
      <c r="F88" s="2" t="s">
        <v>78</v>
      </c>
      <c r="G88" s="2" t="s">
        <v>75</v>
      </c>
      <c r="H88" s="2" t="s">
        <v>68</v>
      </c>
      <c r="I88" s="6" t="s">
        <v>69</v>
      </c>
      <c r="J88" s="4">
        <v>45761.0</v>
      </c>
      <c r="K88" s="5">
        <v>0.5208333333333334</v>
      </c>
      <c r="L88" s="6">
        <v>3209.33</v>
      </c>
      <c r="M88" s="10"/>
      <c r="N88" s="10"/>
      <c r="O88" s="10"/>
      <c r="P88" s="6">
        <v>3195.66</v>
      </c>
      <c r="Q88" s="6">
        <v>0.0</v>
      </c>
      <c r="R88" s="6">
        <v>2.0</v>
      </c>
      <c r="S88" s="6">
        <v>3211.76</v>
      </c>
      <c r="T88" s="6">
        <v>3214.07</v>
      </c>
      <c r="U88" s="6">
        <v>3200.32</v>
      </c>
      <c r="V88" s="6">
        <v>3206.76</v>
      </c>
      <c r="W88" s="2" t="s">
        <v>70</v>
      </c>
      <c r="X88" s="7">
        <v>0.01</v>
      </c>
      <c r="Y88" s="6">
        <v>51.6</v>
      </c>
      <c r="Z88" s="6">
        <v>1.52</v>
      </c>
      <c r="AA88" s="8" t="s">
        <v>357</v>
      </c>
      <c r="AB88" s="8" t="s">
        <v>358</v>
      </c>
      <c r="AC88" s="8" t="s">
        <v>359</v>
      </c>
      <c r="AD88" s="2" t="s">
        <v>360</v>
      </c>
    </row>
    <row r="89">
      <c r="C89" s="19"/>
      <c r="D89" s="19"/>
      <c r="F89" s="20"/>
      <c r="I89" s="10"/>
      <c r="J89" s="21"/>
      <c r="K89" s="19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22"/>
      <c r="Y89" s="10"/>
      <c r="Z89" s="10"/>
    </row>
    <row r="90">
      <c r="C90" s="19"/>
      <c r="D90" s="19"/>
      <c r="F90" s="20"/>
      <c r="I90" s="10"/>
      <c r="J90" s="21"/>
      <c r="K90" s="19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22"/>
      <c r="Y90" s="10"/>
      <c r="Z90" s="10"/>
    </row>
    <row r="91">
      <c r="C91" s="19"/>
      <c r="D91" s="19"/>
      <c r="F91" s="20"/>
      <c r="I91" s="10"/>
      <c r="J91" s="21"/>
      <c r="K91" s="19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22"/>
      <c r="Y91" s="10"/>
      <c r="Z91" s="10"/>
    </row>
    <row r="92">
      <c r="C92" s="19"/>
      <c r="D92" s="19"/>
      <c r="F92" s="20"/>
      <c r="I92" s="10"/>
      <c r="J92" s="21"/>
      <c r="K92" s="19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22"/>
      <c r="Y92" s="10"/>
      <c r="Z92" s="10"/>
    </row>
    <row r="93">
      <c r="C93" s="19"/>
      <c r="D93" s="19"/>
      <c r="F93" s="20"/>
      <c r="I93" s="10"/>
      <c r="J93" s="21"/>
      <c r="K93" s="19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22"/>
      <c r="Y93" s="10"/>
      <c r="Z93" s="10"/>
    </row>
    <row r="94">
      <c r="C94" s="19"/>
      <c r="D94" s="19"/>
      <c r="F94" s="20"/>
      <c r="I94" s="10"/>
      <c r="J94" s="21"/>
      <c r="K94" s="19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22"/>
      <c r="Y94" s="10"/>
      <c r="Z94" s="10"/>
    </row>
    <row r="95">
      <c r="C95" s="19"/>
      <c r="D95" s="19"/>
      <c r="F95" s="20"/>
      <c r="I95" s="10"/>
      <c r="J95" s="21"/>
      <c r="K95" s="1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22"/>
      <c r="Y95" s="10"/>
      <c r="Z95" s="10"/>
    </row>
    <row r="96">
      <c r="C96" s="19"/>
      <c r="D96" s="19"/>
      <c r="F96" s="20"/>
      <c r="I96" s="10"/>
      <c r="J96" s="21"/>
      <c r="K96" s="19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22"/>
      <c r="Y96" s="10"/>
      <c r="Z96" s="10"/>
    </row>
    <row r="97">
      <c r="C97" s="19"/>
      <c r="D97" s="19"/>
      <c r="F97" s="20"/>
      <c r="I97" s="10"/>
      <c r="J97" s="21"/>
      <c r="K97" s="19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22"/>
      <c r="Y97" s="10"/>
      <c r="Z97" s="10"/>
    </row>
    <row r="98">
      <c r="C98" s="19"/>
      <c r="D98" s="19"/>
      <c r="F98" s="20"/>
      <c r="I98" s="10"/>
      <c r="J98" s="21"/>
      <c r="K98" s="19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22"/>
      <c r="Y98" s="10"/>
      <c r="Z98" s="10"/>
    </row>
    <row r="99">
      <c r="C99" s="19"/>
      <c r="D99" s="19"/>
      <c r="F99" s="20"/>
      <c r="I99" s="10"/>
      <c r="J99" s="21"/>
      <c r="K99" s="19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22"/>
      <c r="Y99" s="10"/>
      <c r="Z99" s="10"/>
    </row>
    <row r="100">
      <c r="C100" s="19"/>
      <c r="D100" s="19"/>
      <c r="F100" s="20"/>
      <c r="I100" s="10"/>
      <c r="J100" s="21"/>
      <c r="K100" s="19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22"/>
      <c r="Y100" s="10"/>
      <c r="Z100" s="10"/>
    </row>
    <row r="101">
      <c r="C101" s="19"/>
      <c r="D101" s="19"/>
      <c r="F101" s="20"/>
      <c r="I101" s="10"/>
      <c r="J101" s="21"/>
      <c r="K101" s="19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22"/>
      <c r="Y101" s="10"/>
      <c r="Z101" s="10"/>
    </row>
    <row r="102">
      <c r="C102" s="19"/>
      <c r="D102" s="19"/>
      <c r="F102" s="20"/>
      <c r="I102" s="10"/>
      <c r="J102" s="21"/>
      <c r="K102" s="19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22"/>
      <c r="Y102" s="10"/>
      <c r="Z102" s="10"/>
    </row>
    <row r="103">
      <c r="C103" s="19"/>
      <c r="D103" s="19"/>
      <c r="F103" s="20"/>
      <c r="I103" s="10"/>
      <c r="J103" s="21"/>
      <c r="K103" s="19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22"/>
      <c r="Y103" s="10"/>
      <c r="Z103" s="10"/>
    </row>
    <row r="104">
      <c r="C104" s="19"/>
      <c r="D104" s="19"/>
      <c r="F104" s="20"/>
      <c r="I104" s="10"/>
      <c r="J104" s="21"/>
      <c r="K104" s="19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22"/>
      <c r="Y104" s="10"/>
      <c r="Z104" s="10"/>
    </row>
    <row r="105">
      <c r="C105" s="19"/>
      <c r="D105" s="19"/>
      <c r="F105" s="20"/>
      <c r="I105" s="10"/>
      <c r="J105" s="21"/>
      <c r="K105" s="19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22"/>
      <c r="Y105" s="10"/>
      <c r="Z105" s="10"/>
    </row>
    <row r="106">
      <c r="C106" s="19"/>
      <c r="D106" s="19"/>
      <c r="F106" s="20"/>
      <c r="I106" s="10"/>
      <c r="J106" s="21"/>
      <c r="K106" s="19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22"/>
      <c r="Y106" s="10"/>
      <c r="Z106" s="10"/>
    </row>
    <row r="107">
      <c r="C107" s="19"/>
      <c r="D107" s="19"/>
      <c r="F107" s="20"/>
      <c r="I107" s="10"/>
      <c r="J107" s="21"/>
      <c r="K107" s="19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22"/>
      <c r="Y107" s="10"/>
      <c r="Z107" s="10"/>
    </row>
    <row r="108">
      <c r="C108" s="19"/>
      <c r="D108" s="19"/>
      <c r="F108" s="20"/>
      <c r="I108" s="10"/>
      <c r="J108" s="21"/>
      <c r="K108" s="1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22"/>
      <c r="Y108" s="10"/>
      <c r="Z108" s="10"/>
    </row>
    <row r="109">
      <c r="C109" s="19"/>
      <c r="D109" s="19"/>
      <c r="F109" s="20"/>
      <c r="I109" s="10"/>
      <c r="J109" s="21"/>
      <c r="K109" s="1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22"/>
      <c r="Y109" s="10"/>
      <c r="Z109" s="10"/>
    </row>
    <row r="110">
      <c r="C110" s="19"/>
      <c r="D110" s="19"/>
      <c r="F110" s="20"/>
      <c r="I110" s="10"/>
      <c r="J110" s="21"/>
      <c r="K110" s="19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22"/>
      <c r="Y110" s="10"/>
      <c r="Z110" s="10"/>
    </row>
    <row r="111">
      <c r="C111" s="19"/>
      <c r="D111" s="19"/>
      <c r="F111" s="20"/>
      <c r="I111" s="10"/>
      <c r="J111" s="21"/>
      <c r="K111" s="1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22"/>
      <c r="Y111" s="10"/>
      <c r="Z111" s="10"/>
    </row>
    <row r="112">
      <c r="C112" s="19"/>
      <c r="D112" s="19"/>
      <c r="F112" s="20"/>
      <c r="I112" s="10"/>
      <c r="J112" s="21"/>
      <c r="K112" s="19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22"/>
      <c r="Y112" s="10"/>
      <c r="Z112" s="10"/>
    </row>
    <row r="113">
      <c r="C113" s="19"/>
      <c r="D113" s="19"/>
      <c r="F113" s="20"/>
      <c r="I113" s="10"/>
      <c r="J113" s="21"/>
      <c r="K113" s="19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22"/>
      <c r="Y113" s="10"/>
      <c r="Z113" s="10"/>
    </row>
    <row r="114">
      <c r="C114" s="19"/>
      <c r="D114" s="19"/>
      <c r="F114" s="20"/>
      <c r="I114" s="10"/>
      <c r="J114" s="21"/>
      <c r="K114" s="1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22"/>
      <c r="Y114" s="10"/>
      <c r="Z114" s="10"/>
    </row>
    <row r="115">
      <c r="C115" s="19"/>
      <c r="D115" s="19"/>
      <c r="F115" s="20"/>
      <c r="I115" s="10"/>
      <c r="J115" s="21"/>
      <c r="K115" s="1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22"/>
      <c r="Y115" s="10"/>
      <c r="Z115" s="10"/>
    </row>
    <row r="116">
      <c r="C116" s="19"/>
      <c r="D116" s="19"/>
      <c r="F116" s="20"/>
      <c r="I116" s="10"/>
      <c r="J116" s="21"/>
      <c r="K116" s="1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22"/>
      <c r="Y116" s="10"/>
      <c r="Z116" s="10"/>
    </row>
    <row r="117">
      <c r="C117" s="19"/>
      <c r="D117" s="19"/>
      <c r="F117" s="20"/>
      <c r="I117" s="10"/>
      <c r="J117" s="21"/>
      <c r="K117" s="1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22"/>
      <c r="Y117" s="10"/>
      <c r="Z117" s="10"/>
    </row>
    <row r="118">
      <c r="C118" s="19"/>
      <c r="D118" s="19"/>
      <c r="F118" s="20"/>
      <c r="I118" s="10"/>
      <c r="J118" s="21"/>
      <c r="K118" s="19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22"/>
      <c r="Y118" s="10"/>
      <c r="Z118" s="10"/>
    </row>
    <row r="119">
      <c r="C119" s="19"/>
      <c r="D119" s="19"/>
      <c r="F119" s="20"/>
      <c r="I119" s="10"/>
      <c r="J119" s="21"/>
      <c r="K119" s="1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22"/>
      <c r="Y119" s="10"/>
      <c r="Z119" s="10"/>
    </row>
    <row r="120">
      <c r="C120" s="19"/>
      <c r="D120" s="19"/>
      <c r="F120" s="20"/>
      <c r="I120" s="10"/>
      <c r="J120" s="21"/>
      <c r="K120" s="1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22"/>
      <c r="Y120" s="10"/>
      <c r="Z120" s="10"/>
    </row>
    <row r="121">
      <c r="C121" s="19"/>
      <c r="D121" s="19"/>
      <c r="F121" s="20"/>
      <c r="I121" s="10"/>
      <c r="J121" s="21"/>
      <c r="K121" s="1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22"/>
      <c r="Y121" s="10"/>
      <c r="Z121" s="10"/>
    </row>
    <row r="122">
      <c r="C122" s="19"/>
      <c r="D122" s="19"/>
      <c r="F122" s="20"/>
      <c r="I122" s="10"/>
      <c r="J122" s="21"/>
      <c r="K122" s="1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22"/>
      <c r="Y122" s="10"/>
      <c r="Z122" s="10"/>
    </row>
    <row r="123">
      <c r="C123" s="19"/>
      <c r="D123" s="19"/>
      <c r="F123" s="20"/>
      <c r="I123" s="10"/>
      <c r="J123" s="21"/>
      <c r="K123" s="1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22"/>
      <c r="Y123" s="10"/>
      <c r="Z123" s="10"/>
    </row>
    <row r="124">
      <c r="C124" s="19"/>
      <c r="D124" s="19"/>
      <c r="F124" s="20"/>
      <c r="I124" s="10"/>
      <c r="J124" s="21"/>
      <c r="K124" s="1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22"/>
      <c r="Y124" s="10"/>
      <c r="Z124" s="10"/>
    </row>
    <row r="125">
      <c r="C125" s="19"/>
      <c r="D125" s="19"/>
      <c r="F125" s="20"/>
      <c r="I125" s="10"/>
      <c r="J125" s="21"/>
      <c r="K125" s="1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22"/>
      <c r="Y125" s="10"/>
      <c r="Z125" s="10"/>
    </row>
    <row r="126">
      <c r="C126" s="19"/>
      <c r="D126" s="19"/>
      <c r="F126" s="20"/>
      <c r="I126" s="10"/>
      <c r="J126" s="21"/>
      <c r="K126" s="1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22"/>
      <c r="Y126" s="10"/>
      <c r="Z126" s="10"/>
    </row>
    <row r="127">
      <c r="C127" s="19"/>
      <c r="D127" s="19"/>
      <c r="F127" s="20"/>
      <c r="I127" s="10"/>
      <c r="J127" s="21"/>
      <c r="K127" s="1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22"/>
      <c r="Y127" s="10"/>
      <c r="Z127" s="10"/>
    </row>
    <row r="128">
      <c r="C128" s="19"/>
      <c r="D128" s="19"/>
      <c r="F128" s="20"/>
      <c r="I128" s="10"/>
      <c r="J128" s="21"/>
      <c r="K128" s="1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22"/>
      <c r="Y128" s="10"/>
      <c r="Z128" s="10"/>
    </row>
    <row r="129">
      <c r="C129" s="19"/>
      <c r="D129" s="19"/>
      <c r="F129" s="20"/>
      <c r="I129" s="10"/>
      <c r="J129" s="21"/>
      <c r="K129" s="1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22"/>
      <c r="Y129" s="10"/>
      <c r="Z129" s="10"/>
    </row>
    <row r="130">
      <c r="C130" s="19"/>
      <c r="D130" s="19"/>
      <c r="F130" s="20"/>
      <c r="I130" s="10"/>
      <c r="J130" s="21"/>
      <c r="K130" s="19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22"/>
      <c r="Y130" s="10"/>
      <c r="Z130" s="10"/>
    </row>
    <row r="131">
      <c r="C131" s="19"/>
      <c r="D131" s="19"/>
      <c r="F131" s="20"/>
      <c r="I131" s="10"/>
      <c r="J131" s="21"/>
      <c r="K131" s="1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22"/>
      <c r="Y131" s="10"/>
      <c r="Z131" s="10"/>
    </row>
    <row r="132">
      <c r="C132" s="19"/>
      <c r="D132" s="19"/>
      <c r="F132" s="20"/>
      <c r="I132" s="10"/>
      <c r="J132" s="21"/>
      <c r="K132" s="19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22"/>
      <c r="Y132" s="10"/>
      <c r="Z132" s="10"/>
    </row>
    <row r="133">
      <c r="C133" s="19"/>
      <c r="D133" s="19"/>
      <c r="F133" s="20"/>
      <c r="I133" s="10"/>
      <c r="J133" s="21"/>
      <c r="K133" s="19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22"/>
      <c r="Y133" s="10"/>
      <c r="Z133" s="10"/>
    </row>
    <row r="134">
      <c r="C134" s="19"/>
      <c r="D134" s="19"/>
      <c r="F134" s="20"/>
      <c r="I134" s="10"/>
      <c r="J134" s="21"/>
      <c r="K134" s="19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22"/>
      <c r="Y134" s="10"/>
      <c r="Z134" s="10"/>
    </row>
    <row r="135">
      <c r="C135" s="19"/>
      <c r="D135" s="19"/>
      <c r="F135" s="20"/>
      <c r="I135" s="10"/>
      <c r="J135" s="21"/>
      <c r="K135" s="19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22"/>
      <c r="Y135" s="10"/>
      <c r="Z135" s="10"/>
    </row>
    <row r="136">
      <c r="C136" s="19"/>
      <c r="D136" s="19"/>
      <c r="F136" s="20"/>
      <c r="I136" s="10"/>
      <c r="J136" s="21"/>
      <c r="K136" s="19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22"/>
      <c r="Y136" s="10"/>
      <c r="Z136" s="10"/>
    </row>
    <row r="137">
      <c r="C137" s="19"/>
      <c r="D137" s="19"/>
      <c r="F137" s="20"/>
      <c r="I137" s="10"/>
      <c r="J137" s="21"/>
      <c r="K137" s="1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22"/>
      <c r="Y137" s="10"/>
      <c r="Z137" s="10"/>
    </row>
    <row r="138">
      <c r="C138" s="19"/>
      <c r="D138" s="19"/>
      <c r="F138" s="20"/>
      <c r="I138" s="10"/>
      <c r="J138" s="21"/>
      <c r="K138" s="1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22"/>
      <c r="Y138" s="10"/>
      <c r="Z138" s="10"/>
    </row>
    <row r="139">
      <c r="C139" s="19"/>
      <c r="D139" s="19"/>
      <c r="F139" s="20"/>
      <c r="I139" s="10"/>
      <c r="J139" s="21"/>
      <c r="K139" s="19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22"/>
      <c r="Y139" s="10"/>
      <c r="Z139" s="10"/>
    </row>
    <row r="140">
      <c r="C140" s="19"/>
      <c r="D140" s="19"/>
      <c r="F140" s="20"/>
      <c r="I140" s="10"/>
      <c r="J140" s="21"/>
      <c r="K140" s="19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22"/>
      <c r="Y140" s="10"/>
      <c r="Z140" s="10"/>
    </row>
    <row r="141">
      <c r="C141" s="19"/>
      <c r="D141" s="19"/>
      <c r="F141" s="20"/>
      <c r="I141" s="10"/>
      <c r="J141" s="21"/>
      <c r="K141" s="19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22"/>
      <c r="Y141" s="10"/>
      <c r="Z141" s="10"/>
    </row>
    <row r="142">
      <c r="C142" s="19"/>
      <c r="D142" s="19"/>
      <c r="F142" s="20"/>
      <c r="I142" s="10"/>
      <c r="J142" s="21"/>
      <c r="K142" s="19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22"/>
      <c r="Y142" s="10"/>
      <c r="Z142" s="10"/>
    </row>
    <row r="143">
      <c r="C143" s="19"/>
      <c r="D143" s="19"/>
      <c r="F143" s="20"/>
      <c r="I143" s="10"/>
      <c r="J143" s="21"/>
      <c r="K143" s="19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22"/>
      <c r="Y143" s="10"/>
      <c r="Z143" s="10"/>
    </row>
    <row r="144">
      <c r="C144" s="19"/>
      <c r="D144" s="19"/>
      <c r="F144" s="20"/>
      <c r="I144" s="10"/>
      <c r="J144" s="21"/>
      <c r="K144" s="19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22"/>
      <c r="Y144" s="10"/>
      <c r="Z144" s="10"/>
    </row>
    <row r="145">
      <c r="C145" s="19"/>
      <c r="D145" s="19"/>
      <c r="F145" s="20"/>
      <c r="I145" s="10"/>
      <c r="J145" s="21"/>
      <c r="K145" s="19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22"/>
      <c r="Y145" s="10"/>
      <c r="Z145" s="10"/>
    </row>
    <row r="146">
      <c r="C146" s="19"/>
      <c r="D146" s="19"/>
      <c r="F146" s="20"/>
      <c r="I146" s="10"/>
      <c r="J146" s="21"/>
      <c r="K146" s="19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22"/>
      <c r="Y146" s="10"/>
      <c r="Z146" s="10"/>
    </row>
    <row r="147">
      <c r="C147" s="19"/>
      <c r="D147" s="19"/>
      <c r="F147" s="20"/>
      <c r="I147" s="10"/>
      <c r="J147" s="21"/>
      <c r="K147" s="19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22"/>
      <c r="Y147" s="10"/>
      <c r="Z147" s="10"/>
    </row>
    <row r="148">
      <c r="C148" s="19"/>
      <c r="D148" s="19"/>
      <c r="F148" s="20"/>
      <c r="I148" s="10"/>
      <c r="J148" s="21"/>
      <c r="K148" s="19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22"/>
      <c r="Y148" s="10"/>
      <c r="Z148" s="10"/>
    </row>
    <row r="149">
      <c r="C149" s="19"/>
      <c r="D149" s="19"/>
      <c r="F149" s="20"/>
      <c r="I149" s="10"/>
      <c r="J149" s="21"/>
      <c r="K149" s="19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22"/>
      <c r="Y149" s="10"/>
      <c r="Z149" s="10"/>
    </row>
    <row r="150">
      <c r="C150" s="19"/>
      <c r="D150" s="19"/>
      <c r="F150" s="20"/>
      <c r="I150" s="10"/>
      <c r="J150" s="21"/>
      <c r="K150" s="19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22"/>
      <c r="Y150" s="10"/>
      <c r="Z150" s="10"/>
    </row>
    <row r="151">
      <c r="C151" s="19"/>
      <c r="D151" s="19"/>
      <c r="F151" s="20"/>
      <c r="I151" s="10"/>
      <c r="J151" s="21"/>
      <c r="K151" s="19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22"/>
      <c r="Y151" s="10"/>
      <c r="Z151" s="10"/>
    </row>
    <row r="152">
      <c r="C152" s="19"/>
      <c r="D152" s="19"/>
      <c r="F152" s="20"/>
      <c r="I152" s="10"/>
      <c r="J152" s="21"/>
      <c r="K152" s="19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22"/>
      <c r="Y152" s="10"/>
      <c r="Z152" s="10"/>
    </row>
    <row r="153">
      <c r="C153" s="19"/>
      <c r="D153" s="19"/>
      <c r="F153" s="20"/>
      <c r="I153" s="10"/>
      <c r="J153" s="21"/>
      <c r="K153" s="1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22"/>
      <c r="Y153" s="10"/>
      <c r="Z153" s="10"/>
    </row>
    <row r="154">
      <c r="C154" s="19"/>
      <c r="D154" s="19"/>
      <c r="F154" s="20"/>
      <c r="I154" s="10"/>
      <c r="J154" s="21"/>
      <c r="K154" s="19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22"/>
      <c r="Y154" s="10"/>
      <c r="Z154" s="10"/>
    </row>
    <row r="155">
      <c r="C155" s="19"/>
      <c r="D155" s="19"/>
      <c r="F155" s="20"/>
      <c r="I155" s="10"/>
      <c r="J155" s="21"/>
      <c r="K155" s="1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22"/>
      <c r="Y155" s="10"/>
      <c r="Z155" s="10"/>
    </row>
    <row r="156">
      <c r="C156" s="19"/>
      <c r="D156" s="19"/>
      <c r="F156" s="20"/>
      <c r="I156" s="10"/>
      <c r="J156" s="21"/>
      <c r="K156" s="19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22"/>
      <c r="Y156" s="10"/>
      <c r="Z156" s="10"/>
    </row>
    <row r="157">
      <c r="C157" s="19"/>
      <c r="D157" s="19"/>
      <c r="F157" s="20"/>
      <c r="I157" s="10"/>
      <c r="J157" s="21"/>
      <c r="K157" s="19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22"/>
      <c r="Y157" s="10"/>
      <c r="Z157" s="10"/>
    </row>
    <row r="158">
      <c r="C158" s="19"/>
      <c r="D158" s="19"/>
      <c r="F158" s="20"/>
      <c r="I158" s="10"/>
      <c r="J158" s="21"/>
      <c r="K158" s="19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22"/>
      <c r="Y158" s="10"/>
      <c r="Z158" s="10"/>
    </row>
    <row r="159">
      <c r="C159" s="19"/>
      <c r="D159" s="19"/>
      <c r="F159" s="20"/>
      <c r="I159" s="10"/>
      <c r="J159" s="21"/>
      <c r="K159" s="19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22"/>
      <c r="Y159" s="10"/>
      <c r="Z159" s="10"/>
    </row>
    <row r="160">
      <c r="C160" s="19"/>
      <c r="D160" s="19"/>
      <c r="F160" s="20"/>
      <c r="I160" s="10"/>
      <c r="J160" s="21"/>
      <c r="K160" s="19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22"/>
      <c r="Y160" s="10"/>
      <c r="Z160" s="10"/>
    </row>
    <row r="161">
      <c r="C161" s="19"/>
      <c r="D161" s="19"/>
      <c r="F161" s="20"/>
      <c r="I161" s="10"/>
      <c r="J161" s="21"/>
      <c r="K161" s="19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22"/>
      <c r="Y161" s="10"/>
      <c r="Z161" s="10"/>
    </row>
    <row r="162">
      <c r="C162" s="19"/>
      <c r="D162" s="19"/>
      <c r="F162" s="20"/>
      <c r="I162" s="10"/>
      <c r="J162" s="21"/>
      <c r="K162" s="19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22"/>
      <c r="Y162" s="10"/>
      <c r="Z162" s="10"/>
    </row>
    <row r="163">
      <c r="C163" s="19"/>
      <c r="D163" s="19"/>
      <c r="F163" s="20"/>
      <c r="I163" s="10"/>
      <c r="J163" s="21"/>
      <c r="K163" s="19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22"/>
      <c r="Y163" s="10"/>
      <c r="Z163" s="10"/>
    </row>
    <row r="164">
      <c r="C164" s="19"/>
      <c r="D164" s="19"/>
      <c r="F164" s="20"/>
      <c r="I164" s="10"/>
      <c r="J164" s="21"/>
      <c r="K164" s="19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22"/>
      <c r="Y164" s="10"/>
      <c r="Z164" s="10"/>
    </row>
    <row r="165">
      <c r="C165" s="19"/>
      <c r="D165" s="19"/>
      <c r="F165" s="20"/>
      <c r="I165" s="10"/>
      <c r="J165" s="21"/>
      <c r="K165" s="19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22"/>
      <c r="Y165" s="10"/>
      <c r="Z165" s="10"/>
    </row>
    <row r="166">
      <c r="C166" s="19"/>
      <c r="D166" s="19"/>
      <c r="F166" s="20"/>
      <c r="I166" s="10"/>
      <c r="J166" s="21"/>
      <c r="K166" s="19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22"/>
      <c r="Y166" s="10"/>
      <c r="Z166" s="10"/>
    </row>
    <row r="167">
      <c r="C167" s="19"/>
      <c r="D167" s="19"/>
      <c r="F167" s="20"/>
      <c r="I167" s="10"/>
      <c r="J167" s="21"/>
      <c r="K167" s="19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22"/>
      <c r="Y167" s="10"/>
      <c r="Z167" s="10"/>
    </row>
    <row r="168">
      <c r="C168" s="19"/>
      <c r="D168" s="19"/>
      <c r="F168" s="20"/>
      <c r="I168" s="10"/>
      <c r="J168" s="21"/>
      <c r="K168" s="19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22"/>
      <c r="Y168" s="10"/>
      <c r="Z168" s="10"/>
    </row>
    <row r="169">
      <c r="C169" s="19"/>
      <c r="D169" s="19"/>
      <c r="F169" s="20"/>
      <c r="I169" s="10"/>
      <c r="J169" s="21"/>
      <c r="K169" s="19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22"/>
      <c r="Y169" s="10"/>
      <c r="Z169" s="10"/>
    </row>
    <row r="170">
      <c r="C170" s="19"/>
      <c r="D170" s="19"/>
      <c r="F170" s="20"/>
      <c r="I170" s="10"/>
      <c r="J170" s="21"/>
      <c r="K170" s="19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22"/>
      <c r="Y170" s="10"/>
      <c r="Z170" s="10"/>
    </row>
    <row r="171">
      <c r="C171" s="19"/>
      <c r="D171" s="19"/>
      <c r="F171" s="20"/>
      <c r="I171" s="10"/>
      <c r="J171" s="21"/>
      <c r="K171" s="19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22"/>
      <c r="Y171" s="10"/>
      <c r="Z171" s="10"/>
    </row>
    <row r="172">
      <c r="C172" s="19"/>
      <c r="D172" s="19"/>
      <c r="F172" s="20"/>
      <c r="I172" s="10"/>
      <c r="J172" s="21"/>
      <c r="K172" s="19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22"/>
      <c r="Y172" s="10"/>
      <c r="Z172" s="10"/>
    </row>
    <row r="173">
      <c r="C173" s="19"/>
      <c r="D173" s="19"/>
      <c r="F173" s="20"/>
      <c r="I173" s="10"/>
      <c r="J173" s="21"/>
      <c r="K173" s="19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22"/>
      <c r="Y173" s="10"/>
      <c r="Z173" s="10"/>
    </row>
    <row r="174">
      <c r="C174" s="19"/>
      <c r="D174" s="19"/>
      <c r="F174" s="20"/>
      <c r="I174" s="10"/>
      <c r="J174" s="21"/>
      <c r="K174" s="19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22"/>
      <c r="Y174" s="10"/>
      <c r="Z174" s="10"/>
    </row>
    <row r="175">
      <c r="C175" s="19"/>
      <c r="D175" s="19"/>
      <c r="F175" s="20"/>
      <c r="I175" s="10"/>
      <c r="J175" s="21"/>
      <c r="K175" s="19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22"/>
      <c r="Y175" s="10"/>
      <c r="Z175" s="10"/>
    </row>
    <row r="176">
      <c r="C176" s="19"/>
      <c r="D176" s="19"/>
      <c r="F176" s="20"/>
      <c r="I176" s="10"/>
      <c r="J176" s="21"/>
      <c r="K176" s="19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22"/>
      <c r="Y176" s="10"/>
      <c r="Z176" s="10"/>
    </row>
    <row r="177">
      <c r="C177" s="19"/>
      <c r="D177" s="19"/>
      <c r="F177" s="20"/>
      <c r="I177" s="10"/>
      <c r="J177" s="21"/>
      <c r="K177" s="19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22"/>
      <c r="Y177" s="10"/>
      <c r="Z177" s="10"/>
    </row>
    <row r="178">
      <c r="C178" s="19"/>
      <c r="D178" s="19"/>
      <c r="F178" s="20"/>
      <c r="I178" s="10"/>
      <c r="J178" s="21"/>
      <c r="K178" s="1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22"/>
      <c r="Y178" s="10"/>
      <c r="Z178" s="10"/>
    </row>
    <row r="179">
      <c r="C179" s="19"/>
      <c r="D179" s="19"/>
      <c r="F179" s="20"/>
      <c r="I179" s="10"/>
      <c r="J179" s="21"/>
      <c r="K179" s="19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22"/>
      <c r="Y179" s="10"/>
      <c r="Z179" s="10"/>
    </row>
    <row r="180">
      <c r="C180" s="19"/>
      <c r="D180" s="19"/>
      <c r="F180" s="20"/>
      <c r="I180" s="10"/>
      <c r="J180" s="21"/>
      <c r="K180" s="19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22"/>
      <c r="Y180" s="10"/>
      <c r="Z180" s="10"/>
    </row>
    <row r="181">
      <c r="C181" s="19"/>
      <c r="D181" s="19"/>
      <c r="F181" s="20"/>
      <c r="I181" s="10"/>
      <c r="J181" s="21"/>
      <c r="K181" s="19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22"/>
      <c r="Y181" s="10"/>
      <c r="Z181" s="10"/>
    </row>
    <row r="182">
      <c r="C182" s="19"/>
      <c r="D182" s="19"/>
      <c r="F182" s="20"/>
      <c r="I182" s="10"/>
      <c r="J182" s="21"/>
      <c r="K182" s="19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22"/>
      <c r="Y182" s="10"/>
      <c r="Z182" s="10"/>
    </row>
    <row r="183">
      <c r="C183" s="19"/>
      <c r="D183" s="19"/>
      <c r="F183" s="20"/>
      <c r="I183" s="10"/>
      <c r="J183" s="21"/>
      <c r="K183" s="19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22"/>
      <c r="Y183" s="10"/>
      <c r="Z183" s="10"/>
    </row>
    <row r="184">
      <c r="C184" s="19"/>
      <c r="D184" s="19"/>
      <c r="F184" s="20"/>
      <c r="I184" s="10"/>
      <c r="J184" s="21"/>
      <c r="K184" s="19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22"/>
      <c r="Y184" s="10"/>
      <c r="Z184" s="10"/>
    </row>
    <row r="185">
      <c r="C185" s="19"/>
      <c r="D185" s="19"/>
      <c r="F185" s="20"/>
      <c r="I185" s="10"/>
      <c r="J185" s="21"/>
      <c r="K185" s="19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22"/>
      <c r="Y185" s="10"/>
      <c r="Z185" s="10"/>
    </row>
    <row r="186">
      <c r="C186" s="19"/>
      <c r="D186" s="19"/>
      <c r="F186" s="20"/>
      <c r="I186" s="10"/>
      <c r="J186" s="21"/>
      <c r="K186" s="19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22"/>
      <c r="Y186" s="10"/>
      <c r="Z186" s="10"/>
    </row>
    <row r="187">
      <c r="C187" s="19"/>
      <c r="D187" s="19"/>
      <c r="F187" s="20"/>
      <c r="I187" s="10"/>
      <c r="J187" s="21"/>
      <c r="K187" s="1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22"/>
      <c r="Y187" s="10"/>
      <c r="Z187" s="10"/>
    </row>
    <row r="188">
      <c r="C188" s="19"/>
      <c r="D188" s="19"/>
      <c r="F188" s="20"/>
      <c r="I188" s="10"/>
      <c r="J188" s="21"/>
      <c r="K188" s="19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22"/>
      <c r="Y188" s="10"/>
      <c r="Z188" s="10"/>
    </row>
    <row r="189">
      <c r="C189" s="19"/>
      <c r="D189" s="19"/>
      <c r="F189" s="20"/>
      <c r="I189" s="10"/>
      <c r="J189" s="21"/>
      <c r="K189" s="1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22"/>
      <c r="Y189" s="10"/>
      <c r="Z189" s="10"/>
    </row>
    <row r="190">
      <c r="C190" s="19"/>
      <c r="D190" s="19"/>
      <c r="F190" s="20"/>
      <c r="I190" s="10"/>
      <c r="J190" s="21"/>
      <c r="K190" s="19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22"/>
      <c r="Y190" s="10"/>
      <c r="Z190" s="10"/>
    </row>
    <row r="191">
      <c r="C191" s="19"/>
      <c r="D191" s="19"/>
      <c r="F191" s="20"/>
      <c r="I191" s="10"/>
      <c r="J191" s="21"/>
      <c r="K191" s="1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22"/>
      <c r="Y191" s="10"/>
      <c r="Z191" s="10"/>
    </row>
    <row r="192">
      <c r="C192" s="19"/>
      <c r="D192" s="19"/>
      <c r="F192" s="20"/>
      <c r="I192" s="10"/>
      <c r="J192" s="21"/>
      <c r="K192" s="1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22"/>
      <c r="Y192" s="10"/>
      <c r="Z192" s="10"/>
    </row>
    <row r="193">
      <c r="C193" s="19"/>
      <c r="D193" s="19"/>
      <c r="F193" s="20"/>
      <c r="I193" s="10"/>
      <c r="J193" s="21"/>
      <c r="K193" s="1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22"/>
      <c r="Y193" s="10"/>
      <c r="Z193" s="10"/>
    </row>
    <row r="194">
      <c r="C194" s="19"/>
      <c r="D194" s="19"/>
      <c r="F194" s="20"/>
      <c r="I194" s="10"/>
      <c r="J194" s="21"/>
      <c r="K194" s="1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22"/>
      <c r="Y194" s="10"/>
      <c r="Z194" s="10"/>
    </row>
    <row r="195">
      <c r="C195" s="19"/>
      <c r="D195" s="19"/>
      <c r="F195" s="20"/>
      <c r="I195" s="10"/>
      <c r="J195" s="21"/>
      <c r="K195" s="1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22"/>
      <c r="Y195" s="10"/>
      <c r="Z195" s="10"/>
    </row>
    <row r="196">
      <c r="C196" s="19"/>
      <c r="D196" s="19"/>
      <c r="F196" s="20"/>
      <c r="I196" s="10"/>
      <c r="J196" s="21"/>
      <c r="K196" s="19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22"/>
      <c r="Y196" s="10"/>
      <c r="Z196" s="10"/>
    </row>
    <row r="197">
      <c r="C197" s="19"/>
      <c r="D197" s="19"/>
      <c r="F197" s="20"/>
      <c r="I197" s="10"/>
      <c r="J197" s="21"/>
      <c r="K197" s="19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22"/>
      <c r="Y197" s="10"/>
      <c r="Z197" s="10"/>
    </row>
    <row r="198">
      <c r="C198" s="19"/>
      <c r="D198" s="19"/>
      <c r="F198" s="20"/>
      <c r="I198" s="10"/>
      <c r="J198" s="21"/>
      <c r="K198" s="19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22"/>
      <c r="Y198" s="10"/>
      <c r="Z198" s="10"/>
    </row>
    <row r="199">
      <c r="C199" s="19"/>
      <c r="D199" s="19"/>
      <c r="F199" s="20"/>
      <c r="I199" s="10"/>
      <c r="J199" s="21"/>
      <c r="K199" s="19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22"/>
      <c r="Y199" s="10"/>
      <c r="Z199" s="10"/>
    </row>
    <row r="200">
      <c r="C200" s="19"/>
      <c r="D200" s="19"/>
      <c r="F200" s="20"/>
      <c r="I200" s="10"/>
      <c r="J200" s="21"/>
      <c r="K200" s="19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22"/>
      <c r="Y200" s="10"/>
      <c r="Z200" s="10"/>
    </row>
    <row r="201">
      <c r="C201" s="19"/>
      <c r="D201" s="19"/>
      <c r="F201" s="20"/>
      <c r="I201" s="10"/>
      <c r="J201" s="21"/>
      <c r="K201" s="1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22"/>
      <c r="Y201" s="10"/>
      <c r="Z201" s="10"/>
    </row>
    <row r="202">
      <c r="C202" s="19"/>
      <c r="D202" s="19"/>
      <c r="F202" s="20"/>
      <c r="I202" s="10"/>
      <c r="J202" s="21"/>
      <c r="K202" s="19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22"/>
      <c r="Y202" s="10"/>
      <c r="Z202" s="10"/>
    </row>
    <row r="203">
      <c r="C203" s="19"/>
      <c r="D203" s="19"/>
      <c r="F203" s="20"/>
      <c r="I203" s="10"/>
      <c r="J203" s="21"/>
      <c r="K203" s="1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22"/>
      <c r="Y203" s="10"/>
      <c r="Z203" s="10"/>
    </row>
    <row r="204">
      <c r="C204" s="19"/>
      <c r="D204" s="19"/>
      <c r="F204" s="20"/>
      <c r="I204" s="10"/>
      <c r="J204" s="21"/>
      <c r="K204" s="19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22"/>
      <c r="Y204" s="10"/>
      <c r="Z204" s="10"/>
    </row>
    <row r="205">
      <c r="C205" s="19"/>
      <c r="D205" s="19"/>
      <c r="F205" s="20"/>
      <c r="I205" s="10"/>
      <c r="J205" s="21"/>
      <c r="K205" s="19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22"/>
      <c r="Y205" s="10"/>
      <c r="Z205" s="10"/>
    </row>
    <row r="206">
      <c r="C206" s="19"/>
      <c r="D206" s="19"/>
      <c r="F206" s="20"/>
      <c r="I206" s="10"/>
      <c r="J206" s="21"/>
      <c r="K206" s="19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22"/>
      <c r="Y206" s="10"/>
      <c r="Z206" s="10"/>
    </row>
    <row r="207">
      <c r="C207" s="19"/>
      <c r="D207" s="19"/>
      <c r="F207" s="20"/>
      <c r="I207" s="10"/>
      <c r="J207" s="21"/>
      <c r="K207" s="19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22"/>
      <c r="Y207" s="10"/>
      <c r="Z207" s="10"/>
    </row>
    <row r="208">
      <c r="C208" s="19"/>
      <c r="D208" s="19"/>
      <c r="F208" s="20"/>
      <c r="I208" s="10"/>
      <c r="J208" s="21"/>
      <c r="K208" s="19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22"/>
      <c r="Y208" s="10"/>
      <c r="Z208" s="10"/>
    </row>
    <row r="209">
      <c r="C209" s="19"/>
      <c r="D209" s="19"/>
      <c r="F209" s="20"/>
      <c r="I209" s="10"/>
      <c r="J209" s="21"/>
      <c r="K209" s="19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22"/>
      <c r="Y209" s="10"/>
      <c r="Z209" s="10"/>
    </row>
    <row r="210">
      <c r="C210" s="19"/>
      <c r="D210" s="19"/>
      <c r="F210" s="20"/>
      <c r="I210" s="10"/>
      <c r="J210" s="21"/>
      <c r="K210" s="19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22"/>
      <c r="Y210" s="10"/>
      <c r="Z210" s="10"/>
    </row>
    <row r="211">
      <c r="C211" s="19"/>
      <c r="D211" s="19"/>
      <c r="F211" s="20"/>
      <c r="I211" s="10"/>
      <c r="J211" s="21"/>
      <c r="K211" s="1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22"/>
      <c r="Y211" s="10"/>
      <c r="Z211" s="10"/>
    </row>
    <row r="212">
      <c r="C212" s="19"/>
      <c r="D212" s="19"/>
      <c r="F212" s="20"/>
      <c r="I212" s="10"/>
      <c r="J212" s="21"/>
      <c r="K212" s="1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22"/>
      <c r="Y212" s="10"/>
      <c r="Z212" s="10"/>
    </row>
    <row r="213">
      <c r="C213" s="19"/>
      <c r="D213" s="19"/>
      <c r="F213" s="20"/>
      <c r="I213" s="10"/>
      <c r="J213" s="21"/>
      <c r="K213" s="1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22"/>
      <c r="Y213" s="10"/>
      <c r="Z213" s="10"/>
    </row>
    <row r="214">
      <c r="C214" s="19"/>
      <c r="D214" s="19"/>
      <c r="F214" s="20"/>
      <c r="I214" s="10"/>
      <c r="J214" s="21"/>
      <c r="K214" s="1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22"/>
      <c r="Y214" s="10"/>
      <c r="Z214" s="10"/>
    </row>
    <row r="215">
      <c r="C215" s="19"/>
      <c r="D215" s="19"/>
      <c r="F215" s="20"/>
      <c r="I215" s="10"/>
      <c r="J215" s="21"/>
      <c r="K215" s="1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22"/>
      <c r="Y215" s="10"/>
      <c r="Z215" s="10"/>
    </row>
    <row r="216">
      <c r="C216" s="19"/>
      <c r="D216" s="19"/>
      <c r="F216" s="20"/>
      <c r="I216" s="10"/>
      <c r="J216" s="21"/>
      <c r="K216" s="1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22"/>
      <c r="Y216" s="10"/>
      <c r="Z216" s="10"/>
    </row>
    <row r="217">
      <c r="C217" s="19"/>
      <c r="D217" s="19"/>
      <c r="F217" s="20"/>
      <c r="I217" s="10"/>
      <c r="J217" s="21"/>
      <c r="K217" s="1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22"/>
      <c r="Y217" s="10"/>
      <c r="Z217" s="10"/>
    </row>
    <row r="218">
      <c r="C218" s="19"/>
      <c r="D218" s="19"/>
      <c r="F218" s="20"/>
      <c r="I218" s="10"/>
      <c r="J218" s="21"/>
      <c r="K218" s="1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22"/>
      <c r="Y218" s="10"/>
      <c r="Z218" s="10"/>
    </row>
    <row r="219">
      <c r="C219" s="19"/>
      <c r="D219" s="19"/>
      <c r="F219" s="20"/>
      <c r="I219" s="10"/>
      <c r="J219" s="21"/>
      <c r="K219" s="1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22"/>
      <c r="Y219" s="10"/>
      <c r="Z219" s="10"/>
    </row>
    <row r="220">
      <c r="C220" s="19"/>
      <c r="D220" s="19"/>
      <c r="F220" s="20"/>
      <c r="I220" s="10"/>
      <c r="J220" s="21"/>
      <c r="K220" s="1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22"/>
      <c r="Y220" s="10"/>
      <c r="Z220" s="10"/>
    </row>
    <row r="221">
      <c r="C221" s="19"/>
      <c r="D221" s="19"/>
      <c r="F221" s="20"/>
      <c r="I221" s="10"/>
      <c r="J221" s="21"/>
      <c r="K221" s="1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22"/>
      <c r="Y221" s="10"/>
      <c r="Z221" s="10"/>
    </row>
    <row r="222">
      <c r="C222" s="19"/>
      <c r="D222" s="19"/>
      <c r="F222" s="20"/>
      <c r="I222" s="10"/>
      <c r="J222" s="21"/>
      <c r="K222" s="1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22"/>
      <c r="Y222" s="10"/>
      <c r="Z222" s="10"/>
    </row>
    <row r="223">
      <c r="C223" s="19"/>
      <c r="D223" s="19"/>
      <c r="F223" s="20"/>
      <c r="I223" s="10"/>
      <c r="J223" s="21"/>
      <c r="K223" s="1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22"/>
      <c r="Y223" s="10"/>
      <c r="Z223" s="10"/>
    </row>
    <row r="224">
      <c r="C224" s="19"/>
      <c r="D224" s="19"/>
      <c r="F224" s="20"/>
      <c r="I224" s="10"/>
      <c r="J224" s="21"/>
      <c r="K224" s="1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22"/>
      <c r="Y224" s="10"/>
      <c r="Z224" s="10"/>
    </row>
    <row r="225">
      <c r="C225" s="19"/>
      <c r="D225" s="19"/>
      <c r="F225" s="20"/>
      <c r="I225" s="10"/>
      <c r="J225" s="21"/>
      <c r="K225" s="1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22"/>
      <c r="Y225" s="10"/>
      <c r="Z225" s="10"/>
    </row>
    <row r="226">
      <c r="C226" s="19"/>
      <c r="D226" s="19"/>
      <c r="F226" s="20"/>
      <c r="I226" s="10"/>
      <c r="J226" s="21"/>
      <c r="K226" s="1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22"/>
      <c r="Y226" s="10"/>
      <c r="Z226" s="10"/>
    </row>
    <row r="227">
      <c r="C227" s="19"/>
      <c r="D227" s="19"/>
      <c r="F227" s="20"/>
      <c r="I227" s="10"/>
      <c r="J227" s="21"/>
      <c r="K227" s="1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22"/>
      <c r="Y227" s="10"/>
      <c r="Z227" s="10"/>
    </row>
    <row r="228">
      <c r="C228" s="19"/>
      <c r="D228" s="19"/>
      <c r="F228" s="20"/>
      <c r="I228" s="10"/>
      <c r="J228" s="21"/>
      <c r="K228" s="1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22"/>
      <c r="Y228" s="10"/>
      <c r="Z228" s="10"/>
    </row>
    <row r="229">
      <c r="C229" s="19"/>
      <c r="D229" s="19"/>
      <c r="F229" s="20"/>
      <c r="I229" s="10"/>
      <c r="J229" s="21"/>
      <c r="K229" s="1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22"/>
      <c r="Y229" s="10"/>
      <c r="Z229" s="10"/>
    </row>
    <row r="230">
      <c r="C230" s="19"/>
      <c r="D230" s="19"/>
      <c r="F230" s="20"/>
      <c r="I230" s="10"/>
      <c r="J230" s="21"/>
      <c r="K230" s="1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22"/>
      <c r="Y230" s="10"/>
      <c r="Z230" s="10"/>
    </row>
    <row r="231">
      <c r="C231" s="19"/>
      <c r="D231" s="19"/>
      <c r="F231" s="20"/>
      <c r="I231" s="10"/>
      <c r="J231" s="21"/>
      <c r="K231" s="1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22"/>
      <c r="Y231" s="10"/>
      <c r="Z231" s="10"/>
    </row>
    <row r="232">
      <c r="C232" s="19"/>
      <c r="D232" s="19"/>
      <c r="F232" s="20"/>
      <c r="I232" s="10"/>
      <c r="J232" s="21"/>
      <c r="K232" s="1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22"/>
      <c r="Y232" s="10"/>
      <c r="Z232" s="10"/>
    </row>
    <row r="233">
      <c r="C233" s="19"/>
      <c r="D233" s="19"/>
      <c r="F233" s="20"/>
      <c r="I233" s="10"/>
      <c r="J233" s="21"/>
      <c r="K233" s="1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22"/>
      <c r="Y233" s="10"/>
      <c r="Z233" s="10"/>
    </row>
    <row r="234">
      <c r="C234" s="19"/>
      <c r="D234" s="19"/>
      <c r="F234" s="20"/>
      <c r="I234" s="10"/>
      <c r="J234" s="21"/>
      <c r="K234" s="1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22"/>
      <c r="Y234" s="10"/>
      <c r="Z234" s="10"/>
    </row>
    <row r="235">
      <c r="C235" s="19"/>
      <c r="D235" s="19"/>
      <c r="F235" s="20"/>
      <c r="I235" s="10"/>
      <c r="J235" s="21"/>
      <c r="K235" s="1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22"/>
      <c r="Y235" s="10"/>
      <c r="Z235" s="10"/>
    </row>
    <row r="236">
      <c r="C236" s="19"/>
      <c r="D236" s="19"/>
      <c r="F236" s="20"/>
      <c r="I236" s="10"/>
      <c r="J236" s="21"/>
      <c r="K236" s="1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22"/>
      <c r="Y236" s="10"/>
      <c r="Z236" s="10"/>
    </row>
    <row r="237">
      <c r="C237" s="19"/>
      <c r="D237" s="19"/>
      <c r="F237" s="20"/>
      <c r="I237" s="10"/>
      <c r="J237" s="21"/>
      <c r="K237" s="1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22"/>
      <c r="Y237" s="10"/>
      <c r="Z237" s="10"/>
    </row>
    <row r="238">
      <c r="C238" s="19"/>
      <c r="D238" s="19"/>
      <c r="F238" s="20"/>
      <c r="I238" s="10"/>
      <c r="J238" s="21"/>
      <c r="K238" s="1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22"/>
      <c r="Y238" s="10"/>
      <c r="Z238" s="10"/>
    </row>
    <row r="239">
      <c r="C239" s="19"/>
      <c r="D239" s="19"/>
      <c r="F239" s="20"/>
      <c r="I239" s="10"/>
      <c r="J239" s="21"/>
      <c r="K239" s="1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22"/>
      <c r="Y239" s="10"/>
      <c r="Z239" s="10"/>
    </row>
    <row r="240">
      <c r="C240" s="19"/>
      <c r="D240" s="19"/>
      <c r="F240" s="20"/>
      <c r="I240" s="10"/>
      <c r="J240" s="21"/>
      <c r="K240" s="1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22"/>
      <c r="Y240" s="10"/>
      <c r="Z240" s="10"/>
    </row>
    <row r="241">
      <c r="C241" s="19"/>
      <c r="D241" s="19"/>
      <c r="F241" s="20"/>
      <c r="I241" s="10"/>
      <c r="J241" s="21"/>
      <c r="K241" s="1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22"/>
      <c r="Y241" s="10"/>
      <c r="Z241" s="10"/>
    </row>
    <row r="242">
      <c r="C242" s="19"/>
      <c r="D242" s="19"/>
      <c r="F242" s="20"/>
      <c r="I242" s="10"/>
      <c r="J242" s="21"/>
      <c r="K242" s="1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22"/>
      <c r="Y242" s="10"/>
      <c r="Z242" s="10"/>
    </row>
    <row r="243">
      <c r="C243" s="19"/>
      <c r="D243" s="19"/>
      <c r="F243" s="20"/>
      <c r="I243" s="10"/>
      <c r="J243" s="21"/>
      <c r="K243" s="1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22"/>
      <c r="Y243" s="10"/>
      <c r="Z243" s="10"/>
    </row>
    <row r="244">
      <c r="C244" s="19"/>
      <c r="D244" s="19"/>
      <c r="F244" s="20"/>
      <c r="I244" s="10"/>
      <c r="J244" s="21"/>
      <c r="K244" s="1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22"/>
      <c r="Y244" s="10"/>
      <c r="Z244" s="10"/>
    </row>
    <row r="245">
      <c r="C245" s="19"/>
      <c r="D245" s="19"/>
      <c r="F245" s="20"/>
      <c r="I245" s="10"/>
      <c r="J245" s="21"/>
      <c r="K245" s="1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22"/>
      <c r="Y245" s="10"/>
      <c r="Z245" s="10"/>
    </row>
    <row r="246">
      <c r="C246" s="19"/>
      <c r="D246" s="19"/>
      <c r="F246" s="20"/>
      <c r="I246" s="10"/>
      <c r="J246" s="21"/>
      <c r="K246" s="1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22"/>
      <c r="Y246" s="10"/>
      <c r="Z246" s="10"/>
    </row>
    <row r="247">
      <c r="C247" s="19"/>
      <c r="D247" s="19"/>
      <c r="F247" s="20"/>
      <c r="I247" s="10"/>
      <c r="J247" s="21"/>
      <c r="K247" s="1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22"/>
      <c r="Y247" s="10"/>
      <c r="Z247" s="10"/>
    </row>
    <row r="248">
      <c r="C248" s="19"/>
      <c r="D248" s="19"/>
      <c r="F248" s="20"/>
      <c r="I248" s="10"/>
      <c r="J248" s="21"/>
      <c r="K248" s="1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22"/>
      <c r="Y248" s="10"/>
      <c r="Z248" s="10"/>
    </row>
    <row r="249">
      <c r="C249" s="19"/>
      <c r="D249" s="19"/>
      <c r="F249" s="20"/>
      <c r="I249" s="10"/>
      <c r="J249" s="21"/>
      <c r="K249" s="1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22"/>
      <c r="Y249" s="10"/>
      <c r="Z249" s="10"/>
    </row>
    <row r="250">
      <c r="C250" s="19"/>
      <c r="D250" s="19"/>
      <c r="F250" s="20"/>
      <c r="I250" s="10"/>
      <c r="J250" s="21"/>
      <c r="K250" s="1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22"/>
      <c r="Y250" s="10"/>
      <c r="Z250" s="10"/>
    </row>
    <row r="251">
      <c r="C251" s="19"/>
      <c r="D251" s="19"/>
      <c r="F251" s="20"/>
      <c r="I251" s="10"/>
      <c r="J251" s="21"/>
      <c r="K251" s="1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22"/>
      <c r="Y251" s="10"/>
      <c r="Z251" s="10"/>
    </row>
    <row r="252">
      <c r="C252" s="19"/>
      <c r="D252" s="19"/>
      <c r="F252" s="20"/>
      <c r="I252" s="10"/>
      <c r="J252" s="21"/>
      <c r="K252" s="1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22"/>
      <c r="Y252" s="10"/>
      <c r="Z252" s="10"/>
    </row>
    <row r="253">
      <c r="C253" s="19"/>
      <c r="D253" s="19"/>
      <c r="F253" s="20"/>
      <c r="I253" s="10"/>
      <c r="J253" s="21"/>
      <c r="K253" s="1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22"/>
      <c r="Y253" s="10"/>
      <c r="Z253" s="10"/>
    </row>
    <row r="254">
      <c r="C254" s="19"/>
      <c r="D254" s="19"/>
      <c r="F254" s="20"/>
      <c r="I254" s="10"/>
      <c r="J254" s="21"/>
      <c r="K254" s="1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22"/>
      <c r="Y254" s="10"/>
      <c r="Z254" s="10"/>
    </row>
    <row r="255">
      <c r="C255" s="19"/>
      <c r="D255" s="19"/>
      <c r="F255" s="20"/>
      <c r="I255" s="10"/>
      <c r="J255" s="21"/>
      <c r="K255" s="1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22"/>
      <c r="Y255" s="10"/>
      <c r="Z255" s="10"/>
    </row>
    <row r="256">
      <c r="C256" s="19"/>
      <c r="D256" s="19"/>
      <c r="F256" s="20"/>
      <c r="I256" s="10"/>
      <c r="J256" s="21"/>
      <c r="K256" s="1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22"/>
      <c r="Y256" s="10"/>
      <c r="Z256" s="10"/>
    </row>
    <row r="257">
      <c r="C257" s="19"/>
      <c r="D257" s="19"/>
      <c r="F257" s="20"/>
      <c r="I257" s="10"/>
      <c r="J257" s="21"/>
      <c r="K257" s="1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22"/>
      <c r="Y257" s="10"/>
      <c r="Z257" s="10"/>
    </row>
    <row r="258">
      <c r="C258" s="19"/>
      <c r="D258" s="19"/>
      <c r="F258" s="20"/>
      <c r="I258" s="10"/>
      <c r="J258" s="21"/>
      <c r="K258" s="1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22"/>
      <c r="Y258" s="10"/>
      <c r="Z258" s="10"/>
    </row>
    <row r="259">
      <c r="C259" s="19"/>
      <c r="D259" s="19"/>
      <c r="F259" s="20"/>
      <c r="I259" s="10"/>
      <c r="J259" s="21"/>
      <c r="K259" s="1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22"/>
      <c r="Y259" s="10"/>
      <c r="Z259" s="10"/>
    </row>
    <row r="260">
      <c r="C260" s="19"/>
      <c r="D260" s="19"/>
      <c r="F260" s="20"/>
      <c r="I260" s="10"/>
      <c r="J260" s="21"/>
      <c r="K260" s="1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22"/>
      <c r="Y260" s="10"/>
      <c r="Z260" s="10"/>
    </row>
    <row r="261">
      <c r="C261" s="19"/>
      <c r="D261" s="19"/>
      <c r="F261" s="20"/>
      <c r="I261" s="10"/>
      <c r="J261" s="21"/>
      <c r="K261" s="1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22"/>
      <c r="Y261" s="10"/>
      <c r="Z261" s="10"/>
    </row>
    <row r="262">
      <c r="C262" s="19"/>
      <c r="D262" s="19"/>
      <c r="F262" s="20"/>
      <c r="I262" s="10"/>
      <c r="J262" s="21"/>
      <c r="K262" s="1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22"/>
      <c r="Y262" s="10"/>
      <c r="Z262" s="10"/>
    </row>
    <row r="263">
      <c r="C263" s="19"/>
      <c r="D263" s="19"/>
      <c r="F263" s="20"/>
      <c r="I263" s="10"/>
      <c r="J263" s="21"/>
      <c r="K263" s="1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22"/>
      <c r="Y263" s="10"/>
      <c r="Z263" s="10"/>
    </row>
    <row r="264">
      <c r="C264" s="19"/>
      <c r="D264" s="19"/>
      <c r="F264" s="20"/>
      <c r="I264" s="10"/>
      <c r="J264" s="21"/>
      <c r="K264" s="1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22"/>
      <c r="Y264" s="10"/>
      <c r="Z264" s="10"/>
    </row>
    <row r="265">
      <c r="C265" s="19"/>
      <c r="D265" s="19"/>
      <c r="F265" s="20"/>
      <c r="I265" s="10"/>
      <c r="J265" s="21"/>
      <c r="K265" s="1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22"/>
      <c r="Y265" s="10"/>
      <c r="Z265" s="10"/>
    </row>
    <row r="266">
      <c r="C266" s="19"/>
      <c r="D266" s="19"/>
      <c r="F266" s="20"/>
      <c r="I266" s="10"/>
      <c r="J266" s="21"/>
      <c r="K266" s="1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22"/>
      <c r="Y266" s="10"/>
      <c r="Z266" s="10"/>
    </row>
    <row r="267">
      <c r="C267" s="19"/>
      <c r="D267" s="19"/>
      <c r="F267" s="20"/>
      <c r="I267" s="10"/>
      <c r="J267" s="21"/>
      <c r="K267" s="1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22"/>
      <c r="Y267" s="10"/>
      <c r="Z267" s="10"/>
    </row>
    <row r="268">
      <c r="C268" s="19"/>
      <c r="D268" s="19"/>
      <c r="F268" s="20"/>
      <c r="I268" s="10"/>
      <c r="J268" s="21"/>
      <c r="K268" s="1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22"/>
      <c r="Y268" s="10"/>
      <c r="Z268" s="10"/>
    </row>
    <row r="269">
      <c r="C269" s="19"/>
      <c r="D269" s="19"/>
      <c r="F269" s="20"/>
      <c r="I269" s="10"/>
      <c r="J269" s="21"/>
      <c r="K269" s="1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22"/>
      <c r="Y269" s="10"/>
      <c r="Z269" s="10"/>
    </row>
    <row r="270">
      <c r="C270" s="19"/>
      <c r="D270" s="19"/>
      <c r="F270" s="20"/>
      <c r="I270" s="10"/>
      <c r="J270" s="21"/>
      <c r="K270" s="1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22"/>
      <c r="Y270" s="10"/>
      <c r="Z270" s="10"/>
    </row>
    <row r="271">
      <c r="C271" s="19"/>
      <c r="D271" s="19"/>
      <c r="F271" s="20"/>
      <c r="I271" s="10"/>
      <c r="J271" s="21"/>
      <c r="K271" s="1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22"/>
      <c r="Y271" s="10"/>
      <c r="Z271" s="10"/>
    </row>
    <row r="272">
      <c r="C272" s="19"/>
      <c r="D272" s="19"/>
      <c r="F272" s="20"/>
      <c r="I272" s="10"/>
      <c r="J272" s="21"/>
      <c r="K272" s="1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22"/>
      <c r="Y272" s="10"/>
      <c r="Z272" s="10"/>
    </row>
    <row r="273">
      <c r="C273" s="19"/>
      <c r="D273" s="19"/>
      <c r="F273" s="20"/>
      <c r="I273" s="10"/>
      <c r="J273" s="21"/>
      <c r="K273" s="19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22"/>
      <c r="Y273" s="10"/>
      <c r="Z273" s="10"/>
    </row>
    <row r="274">
      <c r="C274" s="19"/>
      <c r="D274" s="19"/>
      <c r="F274" s="20"/>
      <c r="I274" s="10"/>
      <c r="J274" s="21"/>
      <c r="K274" s="19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22"/>
      <c r="Y274" s="10"/>
      <c r="Z274" s="10"/>
    </row>
    <row r="275">
      <c r="C275" s="19"/>
      <c r="D275" s="19"/>
      <c r="F275" s="20"/>
      <c r="I275" s="10"/>
      <c r="J275" s="21"/>
      <c r="K275" s="19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22"/>
      <c r="Y275" s="10"/>
      <c r="Z275" s="10"/>
    </row>
    <row r="276">
      <c r="C276" s="19"/>
      <c r="D276" s="19"/>
      <c r="F276" s="20"/>
      <c r="I276" s="10"/>
      <c r="J276" s="21"/>
      <c r="K276" s="19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22"/>
      <c r="Y276" s="10"/>
      <c r="Z276" s="10"/>
    </row>
    <row r="277">
      <c r="C277" s="19"/>
      <c r="D277" s="19"/>
      <c r="F277" s="20"/>
      <c r="I277" s="10"/>
      <c r="J277" s="21"/>
      <c r="K277" s="19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22"/>
      <c r="Y277" s="10"/>
      <c r="Z277" s="10"/>
    </row>
    <row r="278">
      <c r="C278" s="19"/>
      <c r="D278" s="19"/>
      <c r="F278" s="20"/>
      <c r="I278" s="10"/>
      <c r="J278" s="21"/>
      <c r="K278" s="19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22"/>
      <c r="Y278" s="10"/>
      <c r="Z278" s="10"/>
    </row>
    <row r="279">
      <c r="C279" s="19"/>
      <c r="D279" s="19"/>
      <c r="F279" s="20"/>
      <c r="I279" s="10"/>
      <c r="J279" s="21"/>
      <c r="K279" s="19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22"/>
      <c r="Y279" s="10"/>
      <c r="Z279" s="10"/>
    </row>
    <row r="280">
      <c r="C280" s="19"/>
      <c r="D280" s="19"/>
      <c r="F280" s="20"/>
      <c r="I280" s="10"/>
      <c r="J280" s="21"/>
      <c r="K280" s="19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22"/>
      <c r="Y280" s="10"/>
      <c r="Z280" s="10"/>
    </row>
    <row r="281">
      <c r="C281" s="19"/>
      <c r="D281" s="19"/>
      <c r="F281" s="20"/>
      <c r="I281" s="10"/>
      <c r="J281" s="21"/>
      <c r="K281" s="19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22"/>
      <c r="Y281" s="10"/>
      <c r="Z281" s="10"/>
    </row>
    <row r="282">
      <c r="C282" s="19"/>
      <c r="D282" s="19"/>
      <c r="F282" s="20"/>
      <c r="I282" s="10"/>
      <c r="J282" s="21"/>
      <c r="K282" s="19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22"/>
      <c r="Y282" s="10"/>
      <c r="Z282" s="10"/>
    </row>
    <row r="283">
      <c r="C283" s="19"/>
      <c r="D283" s="19"/>
      <c r="F283" s="20"/>
      <c r="I283" s="10"/>
      <c r="J283" s="21"/>
      <c r="K283" s="19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22"/>
      <c r="Y283" s="10"/>
      <c r="Z283" s="10"/>
    </row>
    <row r="284">
      <c r="C284" s="19"/>
      <c r="D284" s="19"/>
      <c r="F284" s="20"/>
      <c r="I284" s="10"/>
      <c r="J284" s="21"/>
      <c r="K284" s="19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22"/>
      <c r="Y284" s="10"/>
      <c r="Z284" s="10"/>
    </row>
    <row r="285">
      <c r="C285" s="19"/>
      <c r="D285" s="19"/>
      <c r="F285" s="20"/>
      <c r="I285" s="10"/>
      <c r="J285" s="21"/>
      <c r="K285" s="19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22"/>
      <c r="Y285" s="10"/>
      <c r="Z285" s="10"/>
    </row>
    <row r="286">
      <c r="C286" s="19"/>
      <c r="D286" s="19"/>
      <c r="F286" s="20"/>
      <c r="I286" s="10"/>
      <c r="J286" s="21"/>
      <c r="K286" s="19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22"/>
      <c r="Y286" s="10"/>
      <c r="Z286" s="10"/>
    </row>
    <row r="287">
      <c r="C287" s="19"/>
      <c r="D287" s="19"/>
      <c r="F287" s="20"/>
      <c r="I287" s="10"/>
      <c r="J287" s="21"/>
      <c r="K287" s="19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22"/>
      <c r="Y287" s="10"/>
      <c r="Z287" s="10"/>
    </row>
    <row r="288">
      <c r="C288" s="19"/>
      <c r="D288" s="19"/>
      <c r="F288" s="20"/>
      <c r="I288" s="10"/>
      <c r="J288" s="21"/>
      <c r="K288" s="19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22"/>
      <c r="Y288" s="10"/>
      <c r="Z288" s="10"/>
    </row>
    <row r="289">
      <c r="C289" s="19"/>
      <c r="D289" s="19"/>
      <c r="F289" s="20"/>
      <c r="I289" s="10"/>
      <c r="J289" s="21"/>
      <c r="K289" s="19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22"/>
      <c r="Y289" s="10"/>
      <c r="Z289" s="10"/>
    </row>
    <row r="290">
      <c r="C290" s="19"/>
      <c r="D290" s="19"/>
      <c r="F290" s="20"/>
      <c r="I290" s="10"/>
      <c r="J290" s="21"/>
      <c r="K290" s="19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22"/>
      <c r="Y290" s="10"/>
      <c r="Z290" s="10"/>
    </row>
    <row r="291">
      <c r="C291" s="19"/>
      <c r="D291" s="19"/>
      <c r="F291" s="20"/>
      <c r="I291" s="10"/>
      <c r="J291" s="21"/>
      <c r="K291" s="19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22"/>
      <c r="Y291" s="10"/>
      <c r="Z291" s="10"/>
    </row>
    <row r="292">
      <c r="C292" s="19"/>
      <c r="D292" s="19"/>
      <c r="F292" s="20"/>
      <c r="I292" s="10"/>
      <c r="J292" s="21"/>
      <c r="K292" s="19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22"/>
      <c r="Y292" s="10"/>
      <c r="Z292" s="10"/>
    </row>
    <row r="293">
      <c r="C293" s="19"/>
      <c r="D293" s="19"/>
      <c r="F293" s="20"/>
      <c r="I293" s="10"/>
      <c r="J293" s="21"/>
      <c r="K293" s="19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22"/>
      <c r="Y293" s="10"/>
      <c r="Z293" s="10"/>
    </row>
    <row r="294">
      <c r="C294" s="19"/>
      <c r="D294" s="19"/>
      <c r="F294" s="20"/>
      <c r="I294" s="10"/>
      <c r="J294" s="21"/>
      <c r="K294" s="19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22"/>
      <c r="Y294" s="10"/>
      <c r="Z294" s="10"/>
    </row>
    <row r="295">
      <c r="C295" s="19"/>
      <c r="D295" s="19"/>
      <c r="F295" s="20"/>
      <c r="I295" s="10"/>
      <c r="J295" s="21"/>
      <c r="K295" s="19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22"/>
      <c r="Y295" s="10"/>
      <c r="Z295" s="10"/>
    </row>
    <row r="296">
      <c r="C296" s="19"/>
      <c r="D296" s="19"/>
      <c r="F296" s="20"/>
      <c r="I296" s="10"/>
      <c r="J296" s="21"/>
      <c r="K296" s="19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22"/>
      <c r="Y296" s="10"/>
      <c r="Z296" s="10"/>
    </row>
    <row r="297">
      <c r="C297" s="19"/>
      <c r="D297" s="19"/>
      <c r="F297" s="20"/>
      <c r="I297" s="10"/>
      <c r="J297" s="21"/>
      <c r="K297" s="19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22"/>
      <c r="Y297" s="10"/>
      <c r="Z297" s="10"/>
    </row>
    <row r="298">
      <c r="C298" s="19"/>
      <c r="D298" s="19"/>
      <c r="F298" s="20"/>
      <c r="I298" s="10"/>
      <c r="J298" s="21"/>
      <c r="K298" s="19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22"/>
      <c r="Y298" s="10"/>
      <c r="Z298" s="10"/>
    </row>
    <row r="299">
      <c r="C299" s="19"/>
      <c r="D299" s="19"/>
      <c r="F299" s="20"/>
      <c r="I299" s="10"/>
      <c r="J299" s="21"/>
      <c r="K299" s="19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22"/>
      <c r="Y299" s="10"/>
      <c r="Z299" s="10"/>
    </row>
    <row r="300">
      <c r="C300" s="19"/>
      <c r="D300" s="19"/>
      <c r="F300" s="20"/>
      <c r="I300" s="10"/>
      <c r="J300" s="21"/>
      <c r="K300" s="19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22"/>
      <c r="Y300" s="10"/>
      <c r="Z300" s="10"/>
    </row>
    <row r="301">
      <c r="C301" s="19"/>
      <c r="D301" s="19"/>
      <c r="F301" s="20"/>
      <c r="I301" s="10"/>
      <c r="J301" s="21"/>
      <c r="K301" s="19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22"/>
      <c r="Y301" s="10"/>
      <c r="Z301" s="10"/>
    </row>
    <row r="302">
      <c r="C302" s="19"/>
      <c r="D302" s="19"/>
      <c r="F302" s="20"/>
      <c r="I302" s="10"/>
      <c r="J302" s="21"/>
      <c r="K302" s="19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22"/>
      <c r="Y302" s="10"/>
      <c r="Z302" s="10"/>
    </row>
    <row r="303">
      <c r="C303" s="19"/>
      <c r="D303" s="19"/>
      <c r="F303" s="20"/>
      <c r="I303" s="10"/>
      <c r="J303" s="21"/>
      <c r="K303" s="19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22"/>
      <c r="Y303" s="10"/>
      <c r="Z303" s="10"/>
    </row>
    <row r="304">
      <c r="C304" s="19"/>
      <c r="D304" s="19"/>
      <c r="F304" s="20"/>
      <c r="I304" s="10"/>
      <c r="J304" s="21"/>
      <c r="K304" s="19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22"/>
      <c r="Y304" s="10"/>
      <c r="Z304" s="10"/>
    </row>
    <row r="305">
      <c r="C305" s="19"/>
      <c r="D305" s="19"/>
      <c r="F305" s="20"/>
      <c r="I305" s="10"/>
      <c r="J305" s="21"/>
      <c r="K305" s="19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22"/>
      <c r="Y305" s="10"/>
      <c r="Z305" s="10"/>
    </row>
    <row r="306">
      <c r="C306" s="19"/>
      <c r="D306" s="19"/>
      <c r="F306" s="20"/>
      <c r="I306" s="10"/>
      <c r="J306" s="21"/>
      <c r="K306" s="19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22"/>
      <c r="Y306" s="10"/>
      <c r="Z306" s="10"/>
    </row>
    <row r="307">
      <c r="C307" s="19"/>
      <c r="D307" s="19"/>
      <c r="F307" s="20"/>
      <c r="I307" s="10"/>
      <c r="J307" s="21"/>
      <c r="K307" s="19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22"/>
      <c r="Y307" s="10"/>
      <c r="Z307" s="10"/>
    </row>
    <row r="308">
      <c r="C308" s="19"/>
      <c r="D308" s="19"/>
      <c r="F308" s="20"/>
      <c r="I308" s="10"/>
      <c r="J308" s="21"/>
      <c r="K308" s="19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22"/>
      <c r="Y308" s="10"/>
      <c r="Z308" s="10"/>
    </row>
    <row r="309">
      <c r="C309" s="19"/>
      <c r="D309" s="19"/>
      <c r="F309" s="20"/>
      <c r="I309" s="10"/>
      <c r="J309" s="21"/>
      <c r="K309" s="19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22"/>
      <c r="Y309" s="10"/>
      <c r="Z309" s="10"/>
    </row>
    <row r="310">
      <c r="C310" s="19"/>
      <c r="D310" s="19"/>
      <c r="F310" s="20"/>
      <c r="I310" s="10"/>
      <c r="J310" s="21"/>
      <c r="K310" s="19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22"/>
      <c r="Y310" s="10"/>
      <c r="Z310" s="10"/>
    </row>
    <row r="311">
      <c r="C311" s="19"/>
      <c r="D311" s="19"/>
      <c r="F311" s="20"/>
      <c r="I311" s="10"/>
      <c r="J311" s="21"/>
      <c r="K311" s="19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22"/>
      <c r="Y311" s="10"/>
      <c r="Z311" s="10"/>
    </row>
    <row r="312">
      <c r="C312" s="19"/>
      <c r="D312" s="19"/>
      <c r="F312" s="20"/>
      <c r="I312" s="10"/>
      <c r="J312" s="21"/>
      <c r="K312" s="19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22"/>
      <c r="Y312" s="10"/>
      <c r="Z312" s="10"/>
    </row>
    <row r="313">
      <c r="C313" s="19"/>
      <c r="D313" s="19"/>
      <c r="F313" s="20"/>
      <c r="I313" s="10"/>
      <c r="J313" s="21"/>
      <c r="K313" s="19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22"/>
      <c r="Y313" s="10"/>
      <c r="Z313" s="10"/>
    </row>
    <row r="314">
      <c r="C314" s="19"/>
      <c r="D314" s="19"/>
      <c r="F314" s="20"/>
      <c r="I314" s="10"/>
      <c r="J314" s="21"/>
      <c r="K314" s="19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22"/>
      <c r="Y314" s="10"/>
      <c r="Z314" s="10"/>
    </row>
    <row r="315">
      <c r="C315" s="19"/>
      <c r="D315" s="19"/>
      <c r="F315" s="20"/>
      <c r="I315" s="10"/>
      <c r="J315" s="21"/>
      <c r="K315" s="19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22"/>
      <c r="Y315" s="10"/>
      <c r="Z315" s="10"/>
    </row>
    <row r="316">
      <c r="C316" s="19"/>
      <c r="D316" s="19"/>
      <c r="F316" s="20"/>
      <c r="I316" s="10"/>
      <c r="J316" s="21"/>
      <c r="K316" s="19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22"/>
      <c r="Y316" s="10"/>
      <c r="Z316" s="10"/>
    </row>
    <row r="317">
      <c r="C317" s="19"/>
      <c r="D317" s="19"/>
      <c r="F317" s="20"/>
      <c r="I317" s="10"/>
      <c r="J317" s="21"/>
      <c r="K317" s="19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22"/>
      <c r="Y317" s="10"/>
      <c r="Z317" s="10"/>
    </row>
    <row r="318">
      <c r="C318" s="19"/>
      <c r="D318" s="19"/>
      <c r="F318" s="20"/>
      <c r="I318" s="10"/>
      <c r="J318" s="21"/>
      <c r="K318" s="19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22"/>
      <c r="Y318" s="10"/>
      <c r="Z318" s="10"/>
    </row>
    <row r="319">
      <c r="C319" s="19"/>
      <c r="D319" s="19"/>
      <c r="F319" s="20"/>
      <c r="I319" s="10"/>
      <c r="J319" s="21"/>
      <c r="K319" s="19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22"/>
      <c r="Y319" s="10"/>
      <c r="Z319" s="10"/>
    </row>
    <row r="320">
      <c r="C320" s="19"/>
      <c r="D320" s="19"/>
      <c r="F320" s="20"/>
      <c r="I320" s="10"/>
      <c r="J320" s="21"/>
      <c r="K320" s="19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22"/>
      <c r="Y320" s="10"/>
      <c r="Z320" s="10"/>
    </row>
    <row r="321">
      <c r="C321" s="19"/>
      <c r="D321" s="19"/>
      <c r="F321" s="20"/>
      <c r="I321" s="10"/>
      <c r="J321" s="21"/>
      <c r="K321" s="19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22"/>
      <c r="Y321" s="10"/>
      <c r="Z321" s="10"/>
    </row>
    <row r="322">
      <c r="C322" s="19"/>
      <c r="D322" s="19"/>
      <c r="F322" s="20"/>
      <c r="I322" s="10"/>
      <c r="J322" s="21"/>
      <c r="K322" s="19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22"/>
      <c r="Y322" s="10"/>
      <c r="Z322" s="10"/>
    </row>
    <row r="323">
      <c r="C323" s="19"/>
      <c r="D323" s="19"/>
      <c r="F323" s="20"/>
      <c r="I323" s="10"/>
      <c r="J323" s="21"/>
      <c r="K323" s="19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22"/>
      <c r="Y323" s="10"/>
      <c r="Z323" s="10"/>
    </row>
    <row r="324">
      <c r="C324" s="19"/>
      <c r="D324" s="19"/>
      <c r="F324" s="20"/>
      <c r="I324" s="10"/>
      <c r="J324" s="21"/>
      <c r="K324" s="19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22"/>
      <c r="Y324" s="10"/>
      <c r="Z324" s="10"/>
    </row>
    <row r="325">
      <c r="C325" s="19"/>
      <c r="D325" s="19"/>
      <c r="F325" s="20"/>
      <c r="I325" s="10"/>
      <c r="J325" s="21"/>
      <c r="K325" s="19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22"/>
      <c r="Y325" s="10"/>
      <c r="Z325" s="10"/>
    </row>
    <row r="326">
      <c r="C326" s="19"/>
      <c r="D326" s="19"/>
      <c r="F326" s="20"/>
      <c r="I326" s="10"/>
      <c r="J326" s="21"/>
      <c r="K326" s="19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22"/>
      <c r="Y326" s="10"/>
      <c r="Z326" s="10"/>
    </row>
    <row r="327">
      <c r="C327" s="19"/>
      <c r="D327" s="19"/>
      <c r="F327" s="20"/>
      <c r="I327" s="10"/>
      <c r="J327" s="21"/>
      <c r="K327" s="19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22"/>
      <c r="Y327" s="10"/>
      <c r="Z327" s="10"/>
    </row>
    <row r="328">
      <c r="C328" s="19"/>
      <c r="D328" s="19"/>
      <c r="F328" s="20"/>
      <c r="I328" s="10"/>
      <c r="J328" s="21"/>
      <c r="K328" s="19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22"/>
      <c r="Y328" s="10"/>
      <c r="Z328" s="10"/>
    </row>
    <row r="329">
      <c r="C329" s="19"/>
      <c r="D329" s="19"/>
      <c r="F329" s="20"/>
      <c r="I329" s="10"/>
      <c r="J329" s="21"/>
      <c r="K329" s="19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22"/>
      <c r="Y329" s="10"/>
      <c r="Z329" s="10"/>
    </row>
    <row r="330">
      <c r="C330" s="19"/>
      <c r="D330" s="19"/>
      <c r="F330" s="20"/>
      <c r="I330" s="10"/>
      <c r="J330" s="21"/>
      <c r="K330" s="19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22"/>
      <c r="Y330" s="10"/>
      <c r="Z330" s="10"/>
    </row>
    <row r="331">
      <c r="C331" s="19"/>
      <c r="D331" s="19"/>
      <c r="F331" s="20"/>
      <c r="I331" s="10"/>
      <c r="J331" s="21"/>
      <c r="K331" s="19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22"/>
      <c r="Y331" s="10"/>
      <c r="Z331" s="10"/>
    </row>
    <row r="332">
      <c r="C332" s="19"/>
      <c r="D332" s="19"/>
      <c r="F332" s="20"/>
      <c r="I332" s="10"/>
      <c r="J332" s="21"/>
      <c r="K332" s="19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22"/>
      <c r="Y332" s="10"/>
      <c r="Z332" s="10"/>
    </row>
    <row r="333">
      <c r="C333" s="19"/>
      <c r="D333" s="19"/>
      <c r="F333" s="20"/>
      <c r="I333" s="10"/>
      <c r="J333" s="21"/>
      <c r="K333" s="19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22"/>
      <c r="Y333" s="10"/>
      <c r="Z333" s="10"/>
    </row>
    <row r="334">
      <c r="C334" s="19"/>
      <c r="D334" s="19"/>
      <c r="F334" s="20"/>
      <c r="I334" s="10"/>
      <c r="J334" s="21"/>
      <c r="K334" s="19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22"/>
      <c r="Y334" s="10"/>
      <c r="Z334" s="10"/>
    </row>
    <row r="335">
      <c r="C335" s="19"/>
      <c r="D335" s="19"/>
      <c r="F335" s="20"/>
      <c r="I335" s="10"/>
      <c r="J335" s="21"/>
      <c r="K335" s="19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22"/>
      <c r="Y335" s="10"/>
      <c r="Z335" s="10"/>
    </row>
    <row r="336">
      <c r="C336" s="19"/>
      <c r="D336" s="19"/>
      <c r="F336" s="20"/>
      <c r="I336" s="10"/>
      <c r="J336" s="21"/>
      <c r="K336" s="19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22"/>
      <c r="Y336" s="10"/>
      <c r="Z336" s="10"/>
    </row>
    <row r="337">
      <c r="C337" s="19"/>
      <c r="D337" s="19"/>
      <c r="F337" s="20"/>
      <c r="I337" s="10"/>
      <c r="J337" s="21"/>
      <c r="K337" s="19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22"/>
      <c r="Y337" s="10"/>
      <c r="Z337" s="10"/>
    </row>
    <row r="338">
      <c r="C338" s="19"/>
      <c r="D338" s="19"/>
      <c r="F338" s="20"/>
      <c r="I338" s="10"/>
      <c r="J338" s="21"/>
      <c r="K338" s="19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22"/>
      <c r="Y338" s="10"/>
      <c r="Z338" s="10"/>
    </row>
    <row r="339">
      <c r="C339" s="19"/>
      <c r="D339" s="19"/>
      <c r="F339" s="20"/>
      <c r="I339" s="10"/>
      <c r="J339" s="21"/>
      <c r="K339" s="19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22"/>
      <c r="Y339" s="10"/>
      <c r="Z339" s="10"/>
    </row>
    <row r="340">
      <c r="C340" s="19"/>
      <c r="D340" s="19"/>
      <c r="F340" s="20"/>
      <c r="I340" s="10"/>
      <c r="J340" s="21"/>
      <c r="K340" s="19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22"/>
      <c r="Y340" s="10"/>
      <c r="Z340" s="10"/>
    </row>
    <row r="341">
      <c r="C341" s="19"/>
      <c r="D341" s="19"/>
      <c r="F341" s="20"/>
      <c r="I341" s="10"/>
      <c r="J341" s="21"/>
      <c r="K341" s="19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22"/>
      <c r="Y341" s="10"/>
      <c r="Z341" s="10"/>
    </row>
    <row r="342">
      <c r="C342" s="19"/>
      <c r="D342" s="19"/>
      <c r="F342" s="20"/>
      <c r="I342" s="10"/>
      <c r="J342" s="21"/>
      <c r="K342" s="19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22"/>
      <c r="Y342" s="10"/>
      <c r="Z342" s="10"/>
    </row>
    <row r="343">
      <c r="C343" s="19"/>
      <c r="D343" s="19"/>
      <c r="F343" s="20"/>
      <c r="I343" s="10"/>
      <c r="J343" s="21"/>
      <c r="K343" s="19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22"/>
      <c r="Y343" s="10"/>
      <c r="Z343" s="10"/>
    </row>
    <row r="344">
      <c r="C344" s="19"/>
      <c r="D344" s="19"/>
      <c r="F344" s="20"/>
      <c r="I344" s="10"/>
      <c r="J344" s="21"/>
      <c r="K344" s="19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22"/>
      <c r="Y344" s="10"/>
      <c r="Z344" s="10"/>
    </row>
    <row r="345">
      <c r="C345" s="19"/>
      <c r="D345" s="19"/>
      <c r="F345" s="20"/>
      <c r="I345" s="10"/>
      <c r="J345" s="21"/>
      <c r="K345" s="19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22"/>
      <c r="Y345" s="10"/>
      <c r="Z345" s="10"/>
    </row>
    <row r="346">
      <c r="C346" s="19"/>
      <c r="D346" s="19"/>
      <c r="F346" s="20"/>
      <c r="I346" s="10"/>
      <c r="J346" s="21"/>
      <c r="K346" s="19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22"/>
      <c r="Y346" s="10"/>
      <c r="Z346" s="10"/>
    </row>
    <row r="347">
      <c r="C347" s="19"/>
      <c r="D347" s="19"/>
      <c r="F347" s="20"/>
      <c r="I347" s="10"/>
      <c r="J347" s="21"/>
      <c r="K347" s="19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22"/>
      <c r="Y347" s="10"/>
      <c r="Z347" s="10"/>
    </row>
    <row r="348">
      <c r="C348" s="19"/>
      <c r="D348" s="19"/>
      <c r="F348" s="20"/>
      <c r="I348" s="10"/>
      <c r="J348" s="21"/>
      <c r="K348" s="19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22"/>
      <c r="Y348" s="10"/>
      <c r="Z348" s="10"/>
    </row>
    <row r="349">
      <c r="C349" s="19"/>
      <c r="D349" s="19"/>
      <c r="F349" s="20"/>
      <c r="I349" s="10"/>
      <c r="J349" s="21"/>
      <c r="K349" s="19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22"/>
      <c r="Y349" s="10"/>
      <c r="Z349" s="10"/>
    </row>
    <row r="350">
      <c r="C350" s="19"/>
      <c r="D350" s="19"/>
      <c r="F350" s="20"/>
      <c r="I350" s="10"/>
      <c r="J350" s="21"/>
      <c r="K350" s="19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22"/>
      <c r="Y350" s="10"/>
      <c r="Z350" s="10"/>
    </row>
    <row r="351">
      <c r="C351" s="19"/>
      <c r="D351" s="19"/>
      <c r="F351" s="20"/>
      <c r="I351" s="10"/>
      <c r="J351" s="21"/>
      <c r="K351" s="19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22"/>
      <c r="Y351" s="10"/>
      <c r="Z351" s="10"/>
    </row>
    <row r="352">
      <c r="C352" s="19"/>
      <c r="D352" s="19"/>
      <c r="F352" s="20"/>
      <c r="I352" s="10"/>
      <c r="J352" s="21"/>
      <c r="K352" s="19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22"/>
      <c r="Y352" s="10"/>
      <c r="Z352" s="10"/>
    </row>
    <row r="353">
      <c r="C353" s="19"/>
      <c r="D353" s="19"/>
      <c r="F353" s="20"/>
      <c r="I353" s="10"/>
      <c r="J353" s="21"/>
      <c r="K353" s="19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22"/>
      <c r="Y353" s="10"/>
      <c r="Z353" s="10"/>
    </row>
    <row r="354">
      <c r="C354" s="19"/>
      <c r="D354" s="19"/>
      <c r="F354" s="20"/>
      <c r="I354" s="10"/>
      <c r="J354" s="21"/>
      <c r="K354" s="19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22"/>
      <c r="Y354" s="10"/>
      <c r="Z354" s="10"/>
    </row>
    <row r="355">
      <c r="C355" s="19"/>
      <c r="D355" s="19"/>
      <c r="F355" s="20"/>
      <c r="I355" s="10"/>
      <c r="J355" s="21"/>
      <c r="K355" s="19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22"/>
      <c r="Y355" s="10"/>
      <c r="Z355" s="10"/>
    </row>
    <row r="356">
      <c r="C356" s="19"/>
      <c r="D356" s="19"/>
      <c r="F356" s="20"/>
      <c r="I356" s="10"/>
      <c r="J356" s="21"/>
      <c r="K356" s="19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22"/>
      <c r="Y356" s="10"/>
      <c r="Z356" s="10"/>
    </row>
    <row r="357">
      <c r="C357" s="19"/>
      <c r="D357" s="19"/>
      <c r="F357" s="20"/>
      <c r="I357" s="10"/>
      <c r="J357" s="21"/>
      <c r="K357" s="19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22"/>
      <c r="Y357" s="10"/>
      <c r="Z357" s="10"/>
    </row>
    <row r="358">
      <c r="C358" s="19"/>
      <c r="D358" s="19"/>
      <c r="F358" s="20"/>
      <c r="I358" s="10"/>
      <c r="J358" s="21"/>
      <c r="K358" s="19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22"/>
      <c r="Y358" s="10"/>
      <c r="Z358" s="10"/>
    </row>
    <row r="359">
      <c r="C359" s="19"/>
      <c r="D359" s="19"/>
      <c r="F359" s="20"/>
      <c r="I359" s="10"/>
      <c r="J359" s="21"/>
      <c r="K359" s="19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22"/>
      <c r="Y359" s="10"/>
      <c r="Z359" s="10"/>
    </row>
    <row r="360">
      <c r="C360" s="19"/>
      <c r="D360" s="19"/>
      <c r="F360" s="20"/>
      <c r="I360" s="10"/>
      <c r="J360" s="21"/>
      <c r="K360" s="19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22"/>
      <c r="Y360" s="10"/>
      <c r="Z360" s="10"/>
    </row>
    <row r="361">
      <c r="C361" s="19"/>
      <c r="D361" s="19"/>
      <c r="F361" s="20"/>
      <c r="I361" s="10"/>
      <c r="J361" s="21"/>
      <c r="K361" s="19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22"/>
      <c r="Y361" s="10"/>
      <c r="Z361" s="10"/>
    </row>
    <row r="362">
      <c r="C362" s="19"/>
      <c r="D362" s="19"/>
      <c r="F362" s="20"/>
      <c r="I362" s="10"/>
      <c r="J362" s="21"/>
      <c r="K362" s="19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22"/>
      <c r="Y362" s="10"/>
      <c r="Z362" s="10"/>
    </row>
    <row r="363">
      <c r="C363" s="19"/>
      <c r="D363" s="19"/>
      <c r="F363" s="20"/>
      <c r="I363" s="10"/>
      <c r="J363" s="21"/>
      <c r="K363" s="19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22"/>
      <c r="Y363" s="10"/>
      <c r="Z363" s="10"/>
    </row>
    <row r="364">
      <c r="C364" s="19"/>
      <c r="D364" s="19"/>
      <c r="F364" s="20"/>
      <c r="I364" s="10"/>
      <c r="J364" s="21"/>
      <c r="K364" s="19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22"/>
      <c r="Y364" s="10"/>
      <c r="Z364" s="10"/>
    </row>
    <row r="365">
      <c r="C365" s="19"/>
      <c r="D365" s="19"/>
      <c r="F365" s="20"/>
      <c r="I365" s="10"/>
      <c r="J365" s="21"/>
      <c r="K365" s="19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22"/>
      <c r="Y365" s="10"/>
      <c r="Z365" s="10"/>
    </row>
    <row r="366">
      <c r="C366" s="19"/>
      <c r="D366" s="19"/>
      <c r="F366" s="20"/>
      <c r="I366" s="10"/>
      <c r="J366" s="21"/>
      <c r="K366" s="19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22"/>
      <c r="Y366" s="10"/>
      <c r="Z366" s="10"/>
    </row>
    <row r="367">
      <c r="C367" s="19"/>
      <c r="D367" s="19"/>
      <c r="F367" s="20"/>
      <c r="I367" s="10"/>
      <c r="J367" s="21"/>
      <c r="K367" s="19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22"/>
      <c r="Y367" s="10"/>
      <c r="Z367" s="10"/>
    </row>
    <row r="368">
      <c r="C368" s="19"/>
      <c r="D368" s="19"/>
      <c r="F368" s="20"/>
      <c r="I368" s="10"/>
      <c r="J368" s="21"/>
      <c r="K368" s="19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22"/>
      <c r="Y368" s="10"/>
      <c r="Z368" s="10"/>
    </row>
    <row r="369">
      <c r="C369" s="19"/>
      <c r="D369" s="19"/>
      <c r="F369" s="20"/>
      <c r="I369" s="10"/>
      <c r="J369" s="21"/>
      <c r="K369" s="19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22"/>
      <c r="Y369" s="10"/>
      <c r="Z369" s="10"/>
    </row>
    <row r="370">
      <c r="C370" s="19"/>
      <c r="D370" s="19"/>
      <c r="F370" s="20"/>
      <c r="I370" s="10"/>
      <c r="J370" s="21"/>
      <c r="K370" s="19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22"/>
      <c r="Y370" s="10"/>
      <c r="Z370" s="10"/>
    </row>
    <row r="371">
      <c r="C371" s="19"/>
      <c r="D371" s="19"/>
      <c r="F371" s="20"/>
      <c r="I371" s="10"/>
      <c r="J371" s="21"/>
      <c r="K371" s="19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22"/>
      <c r="Y371" s="10"/>
      <c r="Z371" s="10"/>
    </row>
    <row r="372">
      <c r="C372" s="19"/>
      <c r="D372" s="19"/>
      <c r="F372" s="20"/>
      <c r="I372" s="10"/>
      <c r="J372" s="21"/>
      <c r="K372" s="19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22"/>
      <c r="Y372" s="10"/>
      <c r="Z372" s="10"/>
    </row>
    <row r="373">
      <c r="C373" s="19"/>
      <c r="D373" s="19"/>
      <c r="F373" s="20"/>
      <c r="I373" s="10"/>
      <c r="J373" s="21"/>
      <c r="K373" s="19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22"/>
      <c r="Y373" s="10"/>
      <c r="Z373" s="10"/>
    </row>
    <row r="374">
      <c r="C374" s="19"/>
      <c r="D374" s="19"/>
      <c r="F374" s="20"/>
      <c r="I374" s="10"/>
      <c r="J374" s="21"/>
      <c r="K374" s="19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22"/>
      <c r="Y374" s="10"/>
      <c r="Z374" s="10"/>
    </row>
    <row r="375">
      <c r="C375" s="19"/>
      <c r="D375" s="19"/>
      <c r="F375" s="20"/>
      <c r="I375" s="10"/>
      <c r="J375" s="21"/>
      <c r="K375" s="19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22"/>
      <c r="Y375" s="10"/>
      <c r="Z375" s="10"/>
    </row>
    <row r="376">
      <c r="C376" s="19"/>
      <c r="D376" s="19"/>
      <c r="F376" s="20"/>
      <c r="I376" s="10"/>
      <c r="J376" s="21"/>
      <c r="K376" s="19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22"/>
      <c r="Y376" s="10"/>
      <c r="Z376" s="10"/>
    </row>
    <row r="377">
      <c r="C377" s="19"/>
      <c r="D377" s="19"/>
      <c r="F377" s="20"/>
      <c r="I377" s="10"/>
      <c r="J377" s="21"/>
      <c r="K377" s="19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22"/>
      <c r="Y377" s="10"/>
      <c r="Z377" s="10"/>
    </row>
    <row r="378">
      <c r="C378" s="19"/>
      <c r="D378" s="19"/>
      <c r="F378" s="20"/>
      <c r="I378" s="10"/>
      <c r="J378" s="21"/>
      <c r="K378" s="19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22"/>
      <c r="Y378" s="10"/>
      <c r="Z378" s="10"/>
    </row>
    <row r="379">
      <c r="C379" s="19"/>
      <c r="D379" s="19"/>
      <c r="F379" s="20"/>
      <c r="I379" s="10"/>
      <c r="J379" s="21"/>
      <c r="K379" s="19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22"/>
      <c r="Y379" s="10"/>
      <c r="Z379" s="10"/>
    </row>
    <row r="380">
      <c r="C380" s="19"/>
      <c r="D380" s="19"/>
      <c r="F380" s="20"/>
      <c r="I380" s="10"/>
      <c r="J380" s="21"/>
      <c r="K380" s="19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22"/>
      <c r="Y380" s="10"/>
      <c r="Z380" s="10"/>
    </row>
    <row r="381">
      <c r="C381" s="19"/>
      <c r="D381" s="19"/>
      <c r="F381" s="20"/>
      <c r="I381" s="10"/>
      <c r="J381" s="21"/>
      <c r="K381" s="19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22"/>
      <c r="Y381" s="10"/>
      <c r="Z381" s="10"/>
    </row>
    <row r="382">
      <c r="C382" s="19"/>
      <c r="D382" s="19"/>
      <c r="F382" s="20"/>
      <c r="I382" s="10"/>
      <c r="J382" s="21"/>
      <c r="K382" s="19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22"/>
      <c r="Y382" s="10"/>
      <c r="Z382" s="10"/>
    </row>
    <row r="383">
      <c r="C383" s="19"/>
      <c r="D383" s="19"/>
      <c r="F383" s="20"/>
      <c r="I383" s="10"/>
      <c r="J383" s="21"/>
      <c r="K383" s="19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22"/>
      <c r="Y383" s="10"/>
      <c r="Z383" s="10"/>
    </row>
    <row r="384">
      <c r="C384" s="19"/>
      <c r="D384" s="19"/>
      <c r="F384" s="20"/>
      <c r="I384" s="10"/>
      <c r="J384" s="21"/>
      <c r="K384" s="19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22"/>
      <c r="Y384" s="10"/>
      <c r="Z384" s="10"/>
    </row>
    <row r="385">
      <c r="C385" s="19"/>
      <c r="D385" s="19"/>
      <c r="F385" s="20"/>
      <c r="I385" s="10"/>
      <c r="J385" s="21"/>
      <c r="K385" s="19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22"/>
      <c r="Y385" s="10"/>
      <c r="Z385" s="10"/>
    </row>
    <row r="386">
      <c r="C386" s="19"/>
      <c r="D386" s="19"/>
      <c r="F386" s="20"/>
      <c r="I386" s="10"/>
      <c r="J386" s="21"/>
      <c r="K386" s="19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22"/>
      <c r="Y386" s="10"/>
      <c r="Z386" s="10"/>
    </row>
    <row r="387">
      <c r="C387" s="19"/>
      <c r="D387" s="19"/>
      <c r="F387" s="20"/>
      <c r="I387" s="10"/>
      <c r="J387" s="21"/>
      <c r="K387" s="19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22"/>
      <c r="Y387" s="10"/>
      <c r="Z387" s="10"/>
    </row>
    <row r="388">
      <c r="C388" s="19"/>
      <c r="D388" s="19"/>
      <c r="F388" s="20"/>
      <c r="I388" s="10"/>
      <c r="J388" s="21"/>
      <c r="K388" s="19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22"/>
      <c r="Y388" s="10"/>
      <c r="Z388" s="10"/>
    </row>
    <row r="389">
      <c r="C389" s="19"/>
      <c r="D389" s="19"/>
      <c r="F389" s="20"/>
      <c r="I389" s="10"/>
      <c r="J389" s="21"/>
      <c r="K389" s="19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22"/>
      <c r="Y389" s="10"/>
      <c r="Z389" s="10"/>
    </row>
    <row r="390">
      <c r="C390" s="19"/>
      <c r="D390" s="19"/>
      <c r="F390" s="20"/>
      <c r="I390" s="10"/>
      <c r="J390" s="21"/>
      <c r="K390" s="19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22"/>
      <c r="Y390" s="10"/>
      <c r="Z390" s="10"/>
    </row>
    <row r="391">
      <c r="C391" s="19"/>
      <c r="D391" s="19"/>
      <c r="F391" s="20"/>
      <c r="I391" s="10"/>
      <c r="J391" s="21"/>
      <c r="K391" s="19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22"/>
      <c r="Y391" s="10"/>
      <c r="Z391" s="10"/>
    </row>
    <row r="392">
      <c r="C392" s="19"/>
      <c r="D392" s="19"/>
      <c r="F392" s="20"/>
      <c r="I392" s="10"/>
      <c r="J392" s="21"/>
      <c r="K392" s="19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22"/>
      <c r="Y392" s="10"/>
      <c r="Z392" s="10"/>
    </row>
    <row r="393">
      <c r="C393" s="19"/>
      <c r="D393" s="19"/>
      <c r="F393" s="20"/>
      <c r="I393" s="10"/>
      <c r="J393" s="21"/>
      <c r="K393" s="19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22"/>
      <c r="Y393" s="10"/>
      <c r="Z393" s="10"/>
    </row>
    <row r="394">
      <c r="C394" s="19"/>
      <c r="D394" s="19"/>
      <c r="F394" s="20"/>
      <c r="I394" s="10"/>
      <c r="J394" s="21"/>
      <c r="K394" s="19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22"/>
      <c r="Y394" s="10"/>
      <c r="Z394" s="10"/>
    </row>
    <row r="395">
      <c r="C395" s="19"/>
      <c r="D395" s="19"/>
      <c r="F395" s="20"/>
      <c r="I395" s="10"/>
      <c r="J395" s="21"/>
      <c r="K395" s="19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22"/>
      <c r="Y395" s="10"/>
      <c r="Z395" s="10"/>
    </row>
    <row r="396">
      <c r="C396" s="19"/>
      <c r="D396" s="19"/>
      <c r="F396" s="20"/>
      <c r="I396" s="10"/>
      <c r="J396" s="21"/>
      <c r="K396" s="19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22"/>
      <c r="Y396" s="10"/>
      <c r="Z396" s="10"/>
    </row>
    <row r="397">
      <c r="C397" s="19"/>
      <c r="D397" s="19"/>
      <c r="F397" s="20"/>
      <c r="I397" s="10"/>
      <c r="J397" s="21"/>
      <c r="K397" s="19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22"/>
      <c r="Y397" s="10"/>
      <c r="Z397" s="10"/>
    </row>
    <row r="398">
      <c r="C398" s="19"/>
      <c r="D398" s="19"/>
      <c r="F398" s="20"/>
      <c r="I398" s="10"/>
      <c r="J398" s="21"/>
      <c r="K398" s="19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22"/>
      <c r="Y398" s="10"/>
      <c r="Z398" s="10"/>
    </row>
    <row r="399">
      <c r="C399" s="19"/>
      <c r="D399" s="19"/>
      <c r="F399" s="20"/>
      <c r="I399" s="10"/>
      <c r="J399" s="21"/>
      <c r="K399" s="19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22"/>
      <c r="Y399" s="10"/>
      <c r="Z399" s="10"/>
    </row>
    <row r="400">
      <c r="C400" s="19"/>
      <c r="D400" s="19"/>
      <c r="F400" s="20"/>
      <c r="I400" s="10"/>
      <c r="J400" s="21"/>
      <c r="K400" s="19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22"/>
      <c r="Y400" s="10"/>
      <c r="Z400" s="10"/>
    </row>
    <row r="401">
      <c r="C401" s="19"/>
      <c r="D401" s="19"/>
      <c r="F401" s="20"/>
      <c r="I401" s="10"/>
      <c r="J401" s="21"/>
      <c r="K401" s="19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22"/>
      <c r="Y401" s="10"/>
      <c r="Z401" s="10"/>
    </row>
    <row r="402">
      <c r="C402" s="19"/>
      <c r="D402" s="19"/>
      <c r="F402" s="20"/>
      <c r="I402" s="10"/>
      <c r="J402" s="21"/>
      <c r="K402" s="19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22"/>
      <c r="Y402" s="10"/>
      <c r="Z402" s="10"/>
    </row>
    <row r="403">
      <c r="C403" s="19"/>
      <c r="D403" s="19"/>
      <c r="F403" s="20"/>
      <c r="I403" s="10"/>
      <c r="J403" s="21"/>
      <c r="K403" s="19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22"/>
      <c r="Y403" s="10"/>
      <c r="Z403" s="10"/>
    </row>
    <row r="404">
      <c r="C404" s="19"/>
      <c r="D404" s="19"/>
      <c r="F404" s="20"/>
      <c r="I404" s="10"/>
      <c r="J404" s="21"/>
      <c r="K404" s="19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22"/>
      <c r="Y404" s="10"/>
      <c r="Z404" s="10"/>
    </row>
    <row r="405">
      <c r="C405" s="19"/>
      <c r="D405" s="19"/>
      <c r="F405" s="20"/>
      <c r="I405" s="10"/>
      <c r="J405" s="21"/>
      <c r="K405" s="19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22"/>
      <c r="Y405" s="10"/>
      <c r="Z405" s="10"/>
    </row>
    <row r="406">
      <c r="C406" s="19"/>
      <c r="D406" s="19"/>
      <c r="F406" s="20"/>
      <c r="I406" s="10"/>
      <c r="J406" s="21"/>
      <c r="K406" s="19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22"/>
      <c r="Y406" s="10"/>
      <c r="Z406" s="10"/>
    </row>
    <row r="407">
      <c r="C407" s="19"/>
      <c r="D407" s="19"/>
      <c r="F407" s="20"/>
      <c r="I407" s="10"/>
      <c r="J407" s="21"/>
      <c r="K407" s="19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22"/>
      <c r="Y407" s="10"/>
      <c r="Z407" s="10"/>
    </row>
    <row r="408">
      <c r="C408" s="19"/>
      <c r="D408" s="19"/>
      <c r="F408" s="20"/>
      <c r="I408" s="10"/>
      <c r="J408" s="21"/>
      <c r="K408" s="19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22"/>
      <c r="Y408" s="10"/>
      <c r="Z408" s="10"/>
    </row>
    <row r="409">
      <c r="C409" s="19"/>
      <c r="D409" s="19"/>
      <c r="F409" s="20"/>
      <c r="I409" s="10"/>
      <c r="J409" s="21"/>
      <c r="K409" s="19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22"/>
      <c r="Y409" s="10"/>
      <c r="Z409" s="10"/>
    </row>
    <row r="410">
      <c r="C410" s="19"/>
      <c r="D410" s="19"/>
      <c r="F410" s="20"/>
      <c r="I410" s="10"/>
      <c r="J410" s="21"/>
      <c r="K410" s="19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22"/>
      <c r="Y410" s="10"/>
      <c r="Z410" s="10"/>
    </row>
    <row r="411">
      <c r="C411" s="19"/>
      <c r="D411" s="19"/>
      <c r="F411" s="20"/>
      <c r="I411" s="10"/>
      <c r="J411" s="21"/>
      <c r="K411" s="19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22"/>
      <c r="Y411" s="10"/>
      <c r="Z411" s="10"/>
    </row>
    <row r="412">
      <c r="C412" s="19"/>
      <c r="D412" s="19"/>
      <c r="F412" s="20"/>
      <c r="I412" s="10"/>
      <c r="J412" s="21"/>
      <c r="K412" s="19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22"/>
      <c r="Y412" s="10"/>
      <c r="Z412" s="10"/>
    </row>
    <row r="413">
      <c r="C413" s="19"/>
      <c r="D413" s="19"/>
      <c r="F413" s="20"/>
      <c r="I413" s="10"/>
      <c r="J413" s="21"/>
      <c r="K413" s="19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22"/>
      <c r="Y413" s="10"/>
      <c r="Z413" s="10"/>
    </row>
    <row r="414">
      <c r="C414" s="19"/>
      <c r="D414" s="19"/>
      <c r="F414" s="20"/>
      <c r="I414" s="10"/>
      <c r="J414" s="21"/>
      <c r="K414" s="19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22"/>
      <c r="Y414" s="10"/>
      <c r="Z414" s="10"/>
    </row>
    <row r="415">
      <c r="C415" s="19"/>
      <c r="D415" s="19"/>
      <c r="F415" s="20"/>
      <c r="I415" s="10"/>
      <c r="J415" s="21"/>
      <c r="K415" s="19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22"/>
      <c r="Y415" s="10"/>
      <c r="Z415" s="10"/>
    </row>
    <row r="416">
      <c r="C416" s="19"/>
      <c r="D416" s="19"/>
      <c r="F416" s="20"/>
      <c r="I416" s="10"/>
      <c r="J416" s="21"/>
      <c r="K416" s="19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22"/>
      <c r="Y416" s="10"/>
      <c r="Z416" s="10"/>
    </row>
    <row r="417">
      <c r="C417" s="19"/>
      <c r="D417" s="19"/>
      <c r="F417" s="20"/>
      <c r="I417" s="10"/>
      <c r="J417" s="21"/>
      <c r="K417" s="19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22"/>
      <c r="Y417" s="10"/>
      <c r="Z417" s="10"/>
    </row>
    <row r="418">
      <c r="C418" s="19"/>
      <c r="D418" s="19"/>
      <c r="F418" s="20"/>
      <c r="I418" s="10"/>
      <c r="J418" s="21"/>
      <c r="K418" s="19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22"/>
      <c r="Y418" s="10"/>
      <c r="Z418" s="10"/>
    </row>
    <row r="419">
      <c r="C419" s="19"/>
      <c r="D419" s="19"/>
      <c r="F419" s="20"/>
      <c r="I419" s="10"/>
      <c r="J419" s="21"/>
      <c r="K419" s="19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22"/>
      <c r="Y419" s="10"/>
      <c r="Z419" s="10"/>
    </row>
    <row r="420">
      <c r="C420" s="19"/>
      <c r="D420" s="19"/>
      <c r="F420" s="20"/>
      <c r="I420" s="10"/>
      <c r="J420" s="21"/>
      <c r="K420" s="19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22"/>
      <c r="Y420" s="10"/>
      <c r="Z420" s="10"/>
    </row>
    <row r="421">
      <c r="C421" s="19"/>
      <c r="D421" s="19"/>
      <c r="F421" s="20"/>
      <c r="I421" s="10"/>
      <c r="J421" s="21"/>
      <c r="K421" s="19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22"/>
      <c r="Y421" s="10"/>
      <c r="Z421" s="10"/>
    </row>
    <row r="422">
      <c r="C422" s="19"/>
      <c r="D422" s="19"/>
      <c r="F422" s="20"/>
      <c r="I422" s="10"/>
      <c r="J422" s="21"/>
      <c r="K422" s="19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22"/>
      <c r="Y422" s="10"/>
      <c r="Z422" s="10"/>
    </row>
    <row r="423">
      <c r="C423" s="19"/>
      <c r="D423" s="19"/>
      <c r="F423" s="20"/>
      <c r="I423" s="10"/>
      <c r="J423" s="21"/>
      <c r="K423" s="19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22"/>
      <c r="Y423" s="10"/>
      <c r="Z423" s="10"/>
    </row>
    <row r="424">
      <c r="C424" s="19"/>
      <c r="D424" s="19"/>
      <c r="F424" s="20"/>
      <c r="I424" s="10"/>
      <c r="J424" s="21"/>
      <c r="K424" s="19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22"/>
      <c r="Y424" s="10"/>
      <c r="Z424" s="10"/>
    </row>
    <row r="425">
      <c r="C425" s="19"/>
      <c r="D425" s="19"/>
      <c r="F425" s="20"/>
      <c r="I425" s="10"/>
      <c r="J425" s="21"/>
      <c r="K425" s="19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22"/>
      <c r="Y425" s="10"/>
      <c r="Z425" s="10"/>
    </row>
    <row r="426">
      <c r="C426" s="19"/>
      <c r="D426" s="19"/>
      <c r="F426" s="20"/>
      <c r="I426" s="10"/>
      <c r="J426" s="21"/>
      <c r="K426" s="19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22"/>
      <c r="Y426" s="10"/>
      <c r="Z426" s="10"/>
    </row>
    <row r="427">
      <c r="C427" s="19"/>
      <c r="D427" s="19"/>
      <c r="F427" s="20"/>
      <c r="I427" s="10"/>
      <c r="J427" s="21"/>
      <c r="K427" s="19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22"/>
      <c r="Y427" s="10"/>
      <c r="Z427" s="10"/>
    </row>
    <row r="428">
      <c r="C428" s="19"/>
      <c r="D428" s="19"/>
      <c r="F428" s="20"/>
      <c r="I428" s="10"/>
      <c r="J428" s="21"/>
      <c r="K428" s="19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22"/>
      <c r="Y428" s="10"/>
      <c r="Z428" s="10"/>
    </row>
    <row r="429">
      <c r="C429" s="19"/>
      <c r="D429" s="19"/>
      <c r="F429" s="20"/>
      <c r="I429" s="10"/>
      <c r="J429" s="21"/>
      <c r="K429" s="19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22"/>
      <c r="Y429" s="10"/>
      <c r="Z429" s="10"/>
    </row>
    <row r="430">
      <c r="C430" s="19"/>
      <c r="D430" s="19"/>
      <c r="F430" s="20"/>
      <c r="I430" s="10"/>
      <c r="J430" s="21"/>
      <c r="K430" s="19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22"/>
      <c r="Y430" s="10"/>
      <c r="Z430" s="10"/>
    </row>
    <row r="431">
      <c r="C431" s="19"/>
      <c r="D431" s="19"/>
      <c r="F431" s="20"/>
      <c r="I431" s="10"/>
      <c r="J431" s="21"/>
      <c r="K431" s="19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22"/>
      <c r="Y431" s="10"/>
      <c r="Z431" s="10"/>
    </row>
    <row r="432">
      <c r="C432" s="19"/>
      <c r="D432" s="19"/>
      <c r="F432" s="20"/>
      <c r="I432" s="10"/>
      <c r="J432" s="21"/>
      <c r="K432" s="19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22"/>
      <c r="Y432" s="10"/>
      <c r="Z432" s="10"/>
    </row>
    <row r="433">
      <c r="C433" s="19"/>
      <c r="D433" s="19"/>
      <c r="F433" s="20"/>
      <c r="I433" s="10"/>
      <c r="J433" s="21"/>
      <c r="K433" s="19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22"/>
      <c r="Y433" s="10"/>
      <c r="Z433" s="10"/>
    </row>
    <row r="434">
      <c r="C434" s="19"/>
      <c r="D434" s="19"/>
      <c r="F434" s="20"/>
      <c r="I434" s="10"/>
      <c r="J434" s="21"/>
      <c r="K434" s="19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22"/>
      <c r="Y434" s="10"/>
      <c r="Z434" s="10"/>
    </row>
    <row r="435">
      <c r="C435" s="19"/>
      <c r="D435" s="19"/>
      <c r="F435" s="20"/>
      <c r="I435" s="10"/>
      <c r="J435" s="21"/>
      <c r="K435" s="19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22"/>
      <c r="Y435" s="10"/>
      <c r="Z435" s="10"/>
    </row>
    <row r="436">
      <c r="C436" s="19"/>
      <c r="D436" s="19"/>
      <c r="F436" s="20"/>
      <c r="I436" s="10"/>
      <c r="J436" s="21"/>
      <c r="K436" s="19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22"/>
      <c r="Y436" s="10"/>
      <c r="Z436" s="10"/>
    </row>
    <row r="437">
      <c r="C437" s="19"/>
      <c r="D437" s="19"/>
      <c r="F437" s="20"/>
      <c r="I437" s="10"/>
      <c r="J437" s="21"/>
      <c r="K437" s="19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22"/>
      <c r="Y437" s="10"/>
      <c r="Z437" s="10"/>
    </row>
    <row r="438">
      <c r="C438" s="19"/>
      <c r="D438" s="19"/>
      <c r="F438" s="20"/>
      <c r="I438" s="10"/>
      <c r="J438" s="21"/>
      <c r="K438" s="19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22"/>
      <c r="Y438" s="10"/>
      <c r="Z438" s="10"/>
    </row>
    <row r="439">
      <c r="C439" s="19"/>
      <c r="D439" s="19"/>
      <c r="F439" s="20"/>
      <c r="I439" s="10"/>
      <c r="J439" s="21"/>
      <c r="K439" s="19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22"/>
      <c r="Y439" s="10"/>
      <c r="Z439" s="10"/>
    </row>
    <row r="440">
      <c r="C440" s="19"/>
      <c r="D440" s="19"/>
      <c r="F440" s="20"/>
      <c r="I440" s="10"/>
      <c r="J440" s="21"/>
      <c r="K440" s="19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22"/>
      <c r="Y440" s="10"/>
      <c r="Z440" s="10"/>
    </row>
    <row r="441">
      <c r="C441" s="19"/>
      <c r="D441" s="19"/>
      <c r="F441" s="20"/>
      <c r="I441" s="10"/>
      <c r="J441" s="21"/>
      <c r="K441" s="19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22"/>
      <c r="Y441" s="10"/>
      <c r="Z441" s="10"/>
    </row>
    <row r="442">
      <c r="C442" s="19"/>
      <c r="D442" s="19"/>
      <c r="F442" s="20"/>
      <c r="I442" s="10"/>
      <c r="J442" s="21"/>
      <c r="K442" s="19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22"/>
      <c r="Y442" s="10"/>
      <c r="Z442" s="10"/>
    </row>
    <row r="443">
      <c r="C443" s="19"/>
      <c r="D443" s="19"/>
      <c r="F443" s="20"/>
      <c r="I443" s="10"/>
      <c r="J443" s="21"/>
      <c r="K443" s="19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22"/>
      <c r="Y443" s="10"/>
      <c r="Z443" s="10"/>
    </row>
    <row r="444">
      <c r="C444" s="19"/>
      <c r="D444" s="19"/>
      <c r="F444" s="20"/>
      <c r="I444" s="10"/>
      <c r="J444" s="21"/>
      <c r="K444" s="19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22"/>
      <c r="Y444" s="10"/>
      <c r="Z444" s="10"/>
    </row>
    <row r="445">
      <c r="C445" s="19"/>
      <c r="D445" s="19"/>
      <c r="F445" s="20"/>
      <c r="I445" s="10"/>
      <c r="J445" s="21"/>
      <c r="K445" s="19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22"/>
      <c r="Y445" s="10"/>
      <c r="Z445" s="10"/>
    </row>
    <row r="446">
      <c r="C446" s="19"/>
      <c r="D446" s="19"/>
      <c r="F446" s="20"/>
      <c r="I446" s="10"/>
      <c r="J446" s="21"/>
      <c r="K446" s="19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22"/>
      <c r="Y446" s="10"/>
      <c r="Z446" s="10"/>
    </row>
    <row r="447">
      <c r="C447" s="19"/>
      <c r="D447" s="19"/>
      <c r="F447" s="20"/>
      <c r="I447" s="10"/>
      <c r="J447" s="21"/>
      <c r="K447" s="19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22"/>
      <c r="Y447" s="10"/>
      <c r="Z447" s="10"/>
    </row>
    <row r="448">
      <c r="C448" s="19"/>
      <c r="D448" s="19"/>
      <c r="F448" s="20"/>
      <c r="I448" s="10"/>
      <c r="J448" s="21"/>
      <c r="K448" s="19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22"/>
      <c r="Y448" s="10"/>
      <c r="Z448" s="10"/>
    </row>
    <row r="449">
      <c r="C449" s="19"/>
      <c r="D449" s="19"/>
      <c r="F449" s="20"/>
      <c r="I449" s="10"/>
      <c r="J449" s="21"/>
      <c r="K449" s="19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22"/>
      <c r="Y449" s="10"/>
      <c r="Z449" s="10"/>
    </row>
    <row r="450">
      <c r="C450" s="19"/>
      <c r="D450" s="19"/>
      <c r="F450" s="20"/>
      <c r="I450" s="10"/>
      <c r="J450" s="21"/>
      <c r="K450" s="19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22"/>
      <c r="Y450" s="10"/>
      <c r="Z450" s="10"/>
    </row>
    <row r="451">
      <c r="C451" s="19"/>
      <c r="D451" s="19"/>
      <c r="F451" s="20"/>
      <c r="I451" s="10"/>
      <c r="J451" s="21"/>
      <c r="K451" s="19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22"/>
      <c r="Y451" s="10"/>
      <c r="Z451" s="10"/>
    </row>
    <row r="452">
      <c r="C452" s="19"/>
      <c r="D452" s="19"/>
      <c r="F452" s="20"/>
      <c r="I452" s="10"/>
      <c r="J452" s="21"/>
      <c r="K452" s="19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22"/>
      <c r="Y452" s="10"/>
      <c r="Z452" s="10"/>
    </row>
    <row r="453">
      <c r="C453" s="19"/>
      <c r="D453" s="19"/>
      <c r="F453" s="20"/>
      <c r="I453" s="10"/>
      <c r="J453" s="21"/>
      <c r="K453" s="19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22"/>
      <c r="Y453" s="10"/>
      <c r="Z453" s="10"/>
    </row>
    <row r="454">
      <c r="C454" s="19"/>
      <c r="D454" s="19"/>
      <c r="F454" s="20"/>
      <c r="I454" s="10"/>
      <c r="J454" s="21"/>
      <c r="K454" s="19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22"/>
      <c r="Y454" s="10"/>
      <c r="Z454" s="10"/>
    </row>
    <row r="455">
      <c r="C455" s="19"/>
      <c r="D455" s="19"/>
      <c r="F455" s="20"/>
      <c r="I455" s="10"/>
      <c r="J455" s="21"/>
      <c r="K455" s="19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22"/>
      <c r="Y455" s="10"/>
      <c r="Z455" s="10"/>
    </row>
    <row r="456">
      <c r="C456" s="19"/>
      <c r="D456" s="19"/>
      <c r="F456" s="20"/>
      <c r="I456" s="10"/>
      <c r="J456" s="21"/>
      <c r="K456" s="19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22"/>
      <c r="Y456" s="10"/>
      <c r="Z456" s="10"/>
    </row>
    <row r="457">
      <c r="C457" s="19"/>
      <c r="D457" s="19"/>
      <c r="F457" s="20"/>
      <c r="I457" s="10"/>
      <c r="J457" s="21"/>
      <c r="K457" s="19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22"/>
      <c r="Y457" s="10"/>
      <c r="Z457" s="10"/>
    </row>
    <row r="458">
      <c r="C458" s="19"/>
      <c r="D458" s="19"/>
      <c r="F458" s="20"/>
      <c r="I458" s="10"/>
      <c r="J458" s="21"/>
      <c r="K458" s="19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22"/>
      <c r="Y458" s="10"/>
      <c r="Z458" s="10"/>
    </row>
    <row r="459">
      <c r="C459" s="19"/>
      <c r="D459" s="19"/>
      <c r="F459" s="20"/>
      <c r="I459" s="10"/>
      <c r="J459" s="21"/>
      <c r="K459" s="19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22"/>
      <c r="Y459" s="10"/>
      <c r="Z459" s="10"/>
    </row>
    <row r="460">
      <c r="C460" s="19"/>
      <c r="D460" s="19"/>
      <c r="F460" s="20"/>
      <c r="I460" s="10"/>
      <c r="J460" s="21"/>
      <c r="K460" s="19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22"/>
      <c r="Y460" s="10"/>
      <c r="Z460" s="10"/>
    </row>
    <row r="461">
      <c r="C461" s="19"/>
      <c r="D461" s="19"/>
      <c r="F461" s="20"/>
      <c r="I461" s="10"/>
      <c r="J461" s="21"/>
      <c r="K461" s="19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22"/>
      <c r="Y461" s="10"/>
      <c r="Z461" s="10"/>
    </row>
    <row r="462">
      <c r="C462" s="19"/>
      <c r="D462" s="19"/>
      <c r="F462" s="20"/>
      <c r="I462" s="10"/>
      <c r="J462" s="21"/>
      <c r="K462" s="19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22"/>
      <c r="Y462" s="10"/>
      <c r="Z462" s="10"/>
    </row>
    <row r="463">
      <c r="C463" s="19"/>
      <c r="D463" s="19"/>
      <c r="F463" s="20"/>
      <c r="I463" s="10"/>
      <c r="J463" s="21"/>
      <c r="K463" s="19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22"/>
      <c r="Y463" s="10"/>
      <c r="Z463" s="10"/>
    </row>
    <row r="464">
      <c r="C464" s="19"/>
      <c r="D464" s="19"/>
      <c r="F464" s="20"/>
      <c r="I464" s="10"/>
      <c r="J464" s="21"/>
      <c r="K464" s="19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22"/>
      <c r="Y464" s="10"/>
      <c r="Z464" s="10"/>
    </row>
    <row r="465">
      <c r="C465" s="19"/>
      <c r="D465" s="19"/>
      <c r="F465" s="20"/>
      <c r="I465" s="10"/>
      <c r="J465" s="21"/>
      <c r="K465" s="19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22"/>
      <c r="Y465" s="10"/>
      <c r="Z465" s="10"/>
    </row>
    <row r="466">
      <c r="C466" s="19"/>
      <c r="D466" s="19"/>
      <c r="F466" s="20"/>
      <c r="I466" s="10"/>
      <c r="J466" s="21"/>
      <c r="K466" s="19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22"/>
      <c r="Y466" s="10"/>
      <c r="Z466" s="10"/>
    </row>
    <row r="467">
      <c r="C467" s="19"/>
      <c r="D467" s="19"/>
      <c r="F467" s="20"/>
      <c r="I467" s="10"/>
      <c r="J467" s="21"/>
      <c r="K467" s="19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22"/>
      <c r="Y467" s="10"/>
      <c r="Z467" s="10"/>
    </row>
    <row r="468">
      <c r="C468" s="19"/>
      <c r="D468" s="19"/>
      <c r="F468" s="20"/>
      <c r="I468" s="10"/>
      <c r="J468" s="21"/>
      <c r="K468" s="19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22"/>
      <c r="Y468" s="10"/>
      <c r="Z468" s="10"/>
    </row>
    <row r="469">
      <c r="C469" s="19"/>
      <c r="D469" s="19"/>
      <c r="F469" s="20"/>
      <c r="I469" s="10"/>
      <c r="J469" s="21"/>
      <c r="K469" s="19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22"/>
      <c r="Y469" s="10"/>
      <c r="Z469" s="10"/>
    </row>
    <row r="470">
      <c r="C470" s="19"/>
      <c r="D470" s="19"/>
      <c r="F470" s="20"/>
      <c r="I470" s="10"/>
      <c r="J470" s="21"/>
      <c r="K470" s="19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22"/>
      <c r="Y470" s="10"/>
      <c r="Z470" s="10"/>
    </row>
    <row r="471">
      <c r="C471" s="19"/>
      <c r="D471" s="19"/>
      <c r="F471" s="20"/>
      <c r="I471" s="10"/>
      <c r="J471" s="21"/>
      <c r="K471" s="19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22"/>
      <c r="Y471" s="10"/>
      <c r="Z471" s="10"/>
    </row>
    <row r="472">
      <c r="C472" s="19"/>
      <c r="D472" s="19"/>
      <c r="F472" s="20"/>
      <c r="I472" s="10"/>
      <c r="J472" s="21"/>
      <c r="K472" s="19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22"/>
      <c r="Y472" s="10"/>
      <c r="Z472" s="10"/>
    </row>
    <row r="473">
      <c r="C473" s="19"/>
      <c r="D473" s="19"/>
      <c r="F473" s="20"/>
      <c r="I473" s="10"/>
      <c r="J473" s="21"/>
      <c r="K473" s="19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22"/>
      <c r="Y473" s="10"/>
      <c r="Z473" s="10"/>
    </row>
    <row r="474">
      <c r="C474" s="19"/>
      <c r="D474" s="19"/>
      <c r="F474" s="20"/>
      <c r="I474" s="10"/>
      <c r="J474" s="21"/>
      <c r="K474" s="19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22"/>
      <c r="Y474" s="10"/>
      <c r="Z474" s="10"/>
    </row>
    <row r="475">
      <c r="C475" s="19"/>
      <c r="D475" s="19"/>
      <c r="F475" s="20"/>
      <c r="I475" s="10"/>
      <c r="J475" s="21"/>
      <c r="K475" s="19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22"/>
      <c r="Y475" s="10"/>
      <c r="Z475" s="10"/>
    </row>
    <row r="476">
      <c r="C476" s="19"/>
      <c r="D476" s="19"/>
      <c r="F476" s="20"/>
      <c r="I476" s="10"/>
      <c r="J476" s="21"/>
      <c r="K476" s="19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22"/>
      <c r="Y476" s="10"/>
      <c r="Z476" s="10"/>
    </row>
    <row r="477">
      <c r="C477" s="19"/>
      <c r="D477" s="19"/>
      <c r="F477" s="20"/>
      <c r="I477" s="10"/>
      <c r="J477" s="21"/>
      <c r="K477" s="19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22"/>
      <c r="Y477" s="10"/>
      <c r="Z477" s="10"/>
    </row>
    <row r="478">
      <c r="C478" s="19"/>
      <c r="D478" s="19"/>
      <c r="F478" s="20"/>
      <c r="I478" s="10"/>
      <c r="J478" s="21"/>
      <c r="K478" s="19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22"/>
      <c r="Y478" s="10"/>
      <c r="Z478" s="10"/>
    </row>
    <row r="479">
      <c r="C479" s="19"/>
      <c r="D479" s="19"/>
      <c r="F479" s="20"/>
      <c r="I479" s="10"/>
      <c r="J479" s="21"/>
      <c r="K479" s="19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22"/>
      <c r="Y479" s="10"/>
      <c r="Z479" s="10"/>
    </row>
    <row r="480">
      <c r="C480" s="19"/>
      <c r="D480" s="19"/>
      <c r="F480" s="20"/>
      <c r="I480" s="10"/>
      <c r="J480" s="21"/>
      <c r="K480" s="19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22"/>
      <c r="Y480" s="10"/>
      <c r="Z480" s="10"/>
    </row>
    <row r="481">
      <c r="C481" s="19"/>
      <c r="D481" s="19"/>
      <c r="F481" s="20"/>
      <c r="I481" s="10"/>
      <c r="J481" s="21"/>
      <c r="K481" s="19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22"/>
      <c r="Y481" s="10"/>
      <c r="Z481" s="10"/>
    </row>
    <row r="482">
      <c r="C482" s="19"/>
      <c r="D482" s="19"/>
      <c r="F482" s="20"/>
      <c r="I482" s="10"/>
      <c r="J482" s="21"/>
      <c r="K482" s="19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22"/>
      <c r="Y482" s="10"/>
      <c r="Z482" s="10"/>
    </row>
    <row r="483">
      <c r="C483" s="19"/>
      <c r="D483" s="19"/>
      <c r="F483" s="20"/>
      <c r="I483" s="10"/>
      <c r="J483" s="21"/>
      <c r="K483" s="19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22"/>
      <c r="Y483" s="10"/>
      <c r="Z483" s="10"/>
    </row>
    <row r="484">
      <c r="C484" s="19"/>
      <c r="D484" s="19"/>
      <c r="F484" s="20"/>
      <c r="I484" s="10"/>
      <c r="J484" s="21"/>
      <c r="K484" s="19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22"/>
      <c r="Y484" s="10"/>
      <c r="Z484" s="10"/>
    </row>
    <row r="485">
      <c r="C485" s="19"/>
      <c r="D485" s="19"/>
      <c r="F485" s="20"/>
      <c r="I485" s="10"/>
      <c r="J485" s="21"/>
      <c r="K485" s="19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22"/>
      <c r="Y485" s="10"/>
      <c r="Z485" s="10"/>
    </row>
    <row r="486">
      <c r="C486" s="19"/>
      <c r="D486" s="19"/>
      <c r="F486" s="20"/>
      <c r="I486" s="10"/>
      <c r="J486" s="21"/>
      <c r="K486" s="19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22"/>
      <c r="Y486" s="10"/>
      <c r="Z486" s="10"/>
    </row>
    <row r="487">
      <c r="C487" s="19"/>
      <c r="D487" s="19"/>
      <c r="F487" s="20"/>
      <c r="I487" s="10"/>
      <c r="J487" s="21"/>
      <c r="K487" s="19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22"/>
      <c r="Y487" s="10"/>
      <c r="Z487" s="10"/>
    </row>
    <row r="488">
      <c r="C488" s="19"/>
      <c r="D488" s="19"/>
      <c r="F488" s="20"/>
      <c r="I488" s="10"/>
      <c r="J488" s="21"/>
      <c r="K488" s="19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22"/>
      <c r="Y488" s="10"/>
      <c r="Z488" s="10"/>
    </row>
    <row r="489">
      <c r="C489" s="19"/>
      <c r="D489" s="19"/>
      <c r="F489" s="20"/>
      <c r="I489" s="10"/>
      <c r="J489" s="21"/>
      <c r="K489" s="19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22"/>
      <c r="Y489" s="10"/>
      <c r="Z489" s="10"/>
    </row>
    <row r="490">
      <c r="C490" s="19"/>
      <c r="D490" s="19"/>
      <c r="F490" s="20"/>
      <c r="I490" s="10"/>
      <c r="J490" s="21"/>
      <c r="K490" s="19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22"/>
      <c r="Y490" s="10"/>
      <c r="Z490" s="10"/>
    </row>
    <row r="491">
      <c r="C491" s="19"/>
      <c r="D491" s="19"/>
      <c r="F491" s="20"/>
      <c r="I491" s="10"/>
      <c r="J491" s="21"/>
      <c r="K491" s="19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22"/>
      <c r="Y491" s="10"/>
      <c r="Z491" s="10"/>
    </row>
    <row r="492">
      <c r="C492" s="19"/>
      <c r="D492" s="19"/>
      <c r="F492" s="20"/>
      <c r="I492" s="10"/>
      <c r="J492" s="21"/>
      <c r="K492" s="19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22"/>
      <c r="Y492" s="10"/>
      <c r="Z492" s="10"/>
    </row>
    <row r="493">
      <c r="C493" s="19"/>
      <c r="D493" s="19"/>
      <c r="F493" s="20"/>
      <c r="I493" s="10"/>
      <c r="J493" s="21"/>
      <c r="K493" s="19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22"/>
      <c r="Y493" s="10"/>
      <c r="Z493" s="10"/>
    </row>
    <row r="494">
      <c r="C494" s="19"/>
      <c r="D494" s="19"/>
      <c r="F494" s="20"/>
      <c r="I494" s="10"/>
      <c r="J494" s="21"/>
      <c r="K494" s="19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22"/>
      <c r="Y494" s="10"/>
      <c r="Z494" s="10"/>
    </row>
    <row r="495">
      <c r="C495" s="19"/>
      <c r="D495" s="19"/>
      <c r="F495" s="20"/>
      <c r="I495" s="10"/>
      <c r="J495" s="21"/>
      <c r="K495" s="19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22"/>
      <c r="Y495" s="10"/>
      <c r="Z495" s="10"/>
    </row>
    <row r="496">
      <c r="C496" s="19"/>
      <c r="D496" s="19"/>
      <c r="F496" s="20"/>
      <c r="I496" s="10"/>
      <c r="J496" s="21"/>
      <c r="K496" s="19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22"/>
      <c r="Y496" s="10"/>
      <c r="Z496" s="10"/>
    </row>
    <row r="497">
      <c r="C497" s="19"/>
      <c r="D497" s="19"/>
      <c r="F497" s="20"/>
      <c r="I497" s="10"/>
      <c r="J497" s="21"/>
      <c r="K497" s="19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22"/>
      <c r="Y497" s="10"/>
      <c r="Z497" s="10"/>
    </row>
    <row r="498">
      <c r="C498" s="19"/>
      <c r="D498" s="19"/>
      <c r="F498" s="20"/>
      <c r="I498" s="10"/>
      <c r="J498" s="21"/>
      <c r="K498" s="19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22"/>
      <c r="Y498" s="10"/>
      <c r="Z498" s="10"/>
    </row>
    <row r="499">
      <c r="C499" s="19"/>
      <c r="D499" s="19"/>
      <c r="F499" s="20"/>
      <c r="I499" s="10"/>
      <c r="J499" s="21"/>
      <c r="K499" s="19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22"/>
      <c r="Y499" s="10"/>
      <c r="Z499" s="10"/>
    </row>
    <row r="500">
      <c r="C500" s="19"/>
      <c r="D500" s="19"/>
      <c r="F500" s="20"/>
      <c r="I500" s="10"/>
      <c r="J500" s="21"/>
      <c r="K500" s="19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22"/>
      <c r="Y500" s="10"/>
      <c r="Z500" s="10"/>
    </row>
    <row r="501">
      <c r="C501" s="19"/>
      <c r="D501" s="19"/>
      <c r="F501" s="20"/>
      <c r="I501" s="10"/>
      <c r="J501" s="21"/>
      <c r="K501" s="19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22"/>
      <c r="Y501" s="10"/>
      <c r="Z501" s="10"/>
    </row>
    <row r="502">
      <c r="C502" s="19"/>
      <c r="D502" s="19"/>
      <c r="F502" s="20"/>
      <c r="I502" s="10"/>
      <c r="J502" s="21"/>
      <c r="K502" s="19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22"/>
      <c r="Y502" s="10"/>
      <c r="Z502" s="10"/>
    </row>
    <row r="503">
      <c r="C503" s="19"/>
      <c r="D503" s="19"/>
      <c r="F503" s="20"/>
      <c r="I503" s="10"/>
      <c r="J503" s="21"/>
      <c r="K503" s="19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22"/>
      <c r="Y503" s="10"/>
      <c r="Z503" s="10"/>
    </row>
    <row r="504">
      <c r="C504" s="19"/>
      <c r="D504" s="19"/>
      <c r="F504" s="20"/>
      <c r="I504" s="10"/>
      <c r="J504" s="21"/>
      <c r="K504" s="19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22"/>
      <c r="Y504" s="10"/>
      <c r="Z504" s="10"/>
    </row>
    <row r="505">
      <c r="C505" s="19"/>
      <c r="D505" s="19"/>
      <c r="F505" s="20"/>
      <c r="I505" s="10"/>
      <c r="J505" s="21"/>
      <c r="K505" s="19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22"/>
      <c r="Y505" s="10"/>
      <c r="Z505" s="10"/>
    </row>
    <row r="506">
      <c r="C506" s="19"/>
      <c r="D506" s="19"/>
      <c r="F506" s="20"/>
      <c r="I506" s="10"/>
      <c r="J506" s="21"/>
      <c r="K506" s="19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22"/>
      <c r="Y506" s="10"/>
      <c r="Z506" s="10"/>
    </row>
    <row r="507">
      <c r="C507" s="19"/>
      <c r="D507" s="19"/>
      <c r="F507" s="20"/>
      <c r="I507" s="10"/>
      <c r="J507" s="21"/>
      <c r="K507" s="19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22"/>
      <c r="Y507" s="10"/>
      <c r="Z507" s="10"/>
    </row>
    <row r="508">
      <c r="C508" s="19"/>
      <c r="D508" s="19"/>
      <c r="F508" s="20"/>
      <c r="I508" s="10"/>
      <c r="J508" s="21"/>
      <c r="K508" s="19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22"/>
      <c r="Y508" s="10"/>
      <c r="Z508" s="10"/>
    </row>
    <row r="509">
      <c r="C509" s="19"/>
      <c r="D509" s="19"/>
      <c r="F509" s="20"/>
      <c r="I509" s="10"/>
      <c r="J509" s="21"/>
      <c r="K509" s="19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22"/>
      <c r="Y509" s="10"/>
      <c r="Z509" s="10"/>
    </row>
    <row r="510">
      <c r="C510" s="19"/>
      <c r="D510" s="19"/>
      <c r="F510" s="20"/>
      <c r="I510" s="10"/>
      <c r="J510" s="21"/>
      <c r="K510" s="19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22"/>
      <c r="Y510" s="10"/>
      <c r="Z510" s="10"/>
    </row>
    <row r="511">
      <c r="C511" s="19"/>
      <c r="D511" s="19"/>
      <c r="F511" s="20"/>
      <c r="I511" s="10"/>
      <c r="J511" s="21"/>
      <c r="K511" s="19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22"/>
      <c r="Y511" s="10"/>
      <c r="Z511" s="10"/>
    </row>
    <row r="512">
      <c r="C512" s="19"/>
      <c r="D512" s="19"/>
      <c r="F512" s="20"/>
      <c r="I512" s="10"/>
      <c r="J512" s="21"/>
      <c r="K512" s="19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22"/>
      <c r="Y512" s="10"/>
      <c r="Z512" s="10"/>
    </row>
    <row r="513">
      <c r="C513" s="19"/>
      <c r="D513" s="19"/>
      <c r="F513" s="20"/>
      <c r="I513" s="10"/>
      <c r="J513" s="21"/>
      <c r="K513" s="19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22"/>
      <c r="Y513" s="10"/>
      <c r="Z513" s="10"/>
    </row>
    <row r="514">
      <c r="C514" s="19"/>
      <c r="D514" s="19"/>
      <c r="F514" s="20"/>
      <c r="I514" s="10"/>
      <c r="J514" s="21"/>
      <c r="K514" s="19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22"/>
      <c r="Y514" s="10"/>
      <c r="Z514" s="10"/>
    </row>
    <row r="515">
      <c r="C515" s="19"/>
      <c r="D515" s="19"/>
      <c r="F515" s="20"/>
      <c r="I515" s="10"/>
      <c r="J515" s="21"/>
      <c r="K515" s="19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22"/>
      <c r="Y515" s="10"/>
      <c r="Z515" s="10"/>
    </row>
    <row r="516">
      <c r="C516" s="19"/>
      <c r="D516" s="19"/>
      <c r="F516" s="20"/>
      <c r="I516" s="10"/>
      <c r="J516" s="21"/>
      <c r="K516" s="19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22"/>
      <c r="Y516" s="10"/>
      <c r="Z516" s="10"/>
    </row>
    <row r="517">
      <c r="C517" s="19"/>
      <c r="D517" s="19"/>
      <c r="F517" s="20"/>
      <c r="I517" s="10"/>
      <c r="J517" s="21"/>
      <c r="K517" s="19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22"/>
      <c r="Y517" s="10"/>
      <c r="Z517" s="10"/>
    </row>
    <row r="518">
      <c r="C518" s="19"/>
      <c r="D518" s="19"/>
      <c r="F518" s="20"/>
      <c r="I518" s="10"/>
      <c r="J518" s="21"/>
      <c r="K518" s="19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22"/>
      <c r="Y518" s="10"/>
      <c r="Z518" s="10"/>
    </row>
    <row r="519">
      <c r="C519" s="19"/>
      <c r="D519" s="19"/>
      <c r="F519" s="20"/>
      <c r="I519" s="10"/>
      <c r="J519" s="21"/>
      <c r="K519" s="19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22"/>
      <c r="Y519" s="10"/>
      <c r="Z519" s="10"/>
    </row>
    <row r="520">
      <c r="C520" s="19"/>
      <c r="D520" s="19"/>
      <c r="F520" s="20"/>
      <c r="I520" s="10"/>
      <c r="J520" s="21"/>
      <c r="K520" s="19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22"/>
      <c r="Y520" s="10"/>
      <c r="Z520" s="10"/>
    </row>
    <row r="521">
      <c r="C521" s="19"/>
      <c r="D521" s="19"/>
      <c r="F521" s="20"/>
      <c r="I521" s="10"/>
      <c r="J521" s="21"/>
      <c r="K521" s="19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22"/>
      <c r="Y521" s="10"/>
      <c r="Z521" s="10"/>
    </row>
    <row r="522">
      <c r="C522" s="19"/>
      <c r="D522" s="19"/>
      <c r="F522" s="20"/>
      <c r="I522" s="10"/>
      <c r="J522" s="21"/>
      <c r="K522" s="19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22"/>
      <c r="Y522" s="10"/>
      <c r="Z522" s="10"/>
    </row>
    <row r="523">
      <c r="C523" s="19"/>
      <c r="D523" s="19"/>
      <c r="F523" s="20"/>
      <c r="I523" s="10"/>
      <c r="J523" s="21"/>
      <c r="K523" s="19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22"/>
      <c r="Y523" s="10"/>
      <c r="Z523" s="10"/>
    </row>
    <row r="524">
      <c r="C524" s="19"/>
      <c r="D524" s="19"/>
      <c r="F524" s="20"/>
      <c r="I524" s="10"/>
      <c r="J524" s="21"/>
      <c r="K524" s="19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22"/>
      <c r="Y524" s="10"/>
      <c r="Z524" s="10"/>
    </row>
    <row r="525">
      <c r="C525" s="19"/>
      <c r="D525" s="19"/>
      <c r="F525" s="20"/>
      <c r="I525" s="10"/>
      <c r="J525" s="21"/>
      <c r="K525" s="19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22"/>
      <c r="Y525" s="10"/>
      <c r="Z525" s="10"/>
    </row>
    <row r="526">
      <c r="C526" s="19"/>
      <c r="D526" s="19"/>
      <c r="F526" s="20"/>
      <c r="I526" s="10"/>
      <c r="J526" s="21"/>
      <c r="K526" s="19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22"/>
      <c r="Y526" s="10"/>
      <c r="Z526" s="10"/>
    </row>
    <row r="527">
      <c r="C527" s="19"/>
      <c r="D527" s="19"/>
      <c r="F527" s="20"/>
      <c r="I527" s="10"/>
      <c r="J527" s="21"/>
      <c r="K527" s="19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22"/>
      <c r="Y527" s="10"/>
      <c r="Z527" s="10"/>
    </row>
    <row r="528">
      <c r="C528" s="19"/>
      <c r="D528" s="19"/>
      <c r="F528" s="20"/>
      <c r="I528" s="10"/>
      <c r="J528" s="21"/>
      <c r="K528" s="19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22"/>
      <c r="Y528" s="10"/>
      <c r="Z528" s="10"/>
    </row>
    <row r="529">
      <c r="C529" s="19"/>
      <c r="D529" s="19"/>
      <c r="F529" s="20"/>
      <c r="I529" s="10"/>
      <c r="J529" s="21"/>
      <c r="K529" s="19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22"/>
      <c r="Y529" s="10"/>
      <c r="Z529" s="10"/>
    </row>
    <row r="530">
      <c r="C530" s="19"/>
      <c r="D530" s="19"/>
      <c r="F530" s="20"/>
      <c r="I530" s="10"/>
      <c r="J530" s="21"/>
      <c r="K530" s="19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22"/>
      <c r="Y530" s="10"/>
      <c r="Z530" s="10"/>
    </row>
    <row r="531">
      <c r="C531" s="19"/>
      <c r="D531" s="19"/>
      <c r="F531" s="20"/>
      <c r="I531" s="10"/>
      <c r="J531" s="21"/>
      <c r="K531" s="19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22"/>
      <c r="Y531" s="10"/>
      <c r="Z531" s="10"/>
    </row>
    <row r="532">
      <c r="C532" s="19"/>
      <c r="D532" s="19"/>
      <c r="F532" s="20"/>
      <c r="I532" s="10"/>
      <c r="J532" s="21"/>
      <c r="K532" s="19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22"/>
      <c r="Y532" s="10"/>
      <c r="Z532" s="10"/>
    </row>
    <row r="533">
      <c r="C533" s="19"/>
      <c r="D533" s="19"/>
      <c r="F533" s="20"/>
      <c r="I533" s="10"/>
      <c r="J533" s="21"/>
      <c r="K533" s="19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22"/>
      <c r="Y533" s="10"/>
      <c r="Z533" s="10"/>
    </row>
    <row r="534">
      <c r="C534" s="19"/>
      <c r="D534" s="19"/>
      <c r="F534" s="20"/>
      <c r="I534" s="10"/>
      <c r="J534" s="21"/>
      <c r="K534" s="19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22"/>
      <c r="Y534" s="10"/>
      <c r="Z534" s="10"/>
    </row>
    <row r="535">
      <c r="C535" s="19"/>
      <c r="D535" s="19"/>
      <c r="F535" s="20"/>
      <c r="I535" s="10"/>
      <c r="J535" s="21"/>
      <c r="K535" s="19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22"/>
      <c r="Y535" s="10"/>
      <c r="Z535" s="10"/>
    </row>
    <row r="536">
      <c r="C536" s="19"/>
      <c r="D536" s="19"/>
      <c r="F536" s="20"/>
      <c r="I536" s="10"/>
      <c r="J536" s="21"/>
      <c r="K536" s="19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22"/>
      <c r="Y536" s="10"/>
      <c r="Z536" s="10"/>
    </row>
    <row r="537">
      <c r="C537" s="19"/>
      <c r="D537" s="19"/>
      <c r="F537" s="20"/>
      <c r="I537" s="10"/>
      <c r="J537" s="21"/>
      <c r="K537" s="19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22"/>
      <c r="Y537" s="10"/>
      <c r="Z537" s="10"/>
    </row>
    <row r="538">
      <c r="C538" s="19"/>
      <c r="D538" s="19"/>
      <c r="F538" s="20"/>
      <c r="I538" s="10"/>
      <c r="J538" s="21"/>
      <c r="K538" s="19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22"/>
      <c r="Y538" s="10"/>
      <c r="Z538" s="10"/>
    </row>
    <row r="539">
      <c r="C539" s="19"/>
      <c r="D539" s="19"/>
      <c r="F539" s="20"/>
      <c r="I539" s="10"/>
      <c r="J539" s="21"/>
      <c r="K539" s="19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22"/>
      <c r="Y539" s="10"/>
      <c r="Z539" s="10"/>
    </row>
    <row r="540">
      <c r="C540" s="19"/>
      <c r="D540" s="19"/>
      <c r="F540" s="20"/>
      <c r="I540" s="10"/>
      <c r="J540" s="21"/>
      <c r="K540" s="19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22"/>
      <c r="Y540" s="10"/>
      <c r="Z540" s="10"/>
    </row>
    <row r="541">
      <c r="C541" s="19"/>
      <c r="D541" s="19"/>
      <c r="F541" s="20"/>
      <c r="I541" s="10"/>
      <c r="J541" s="21"/>
      <c r="K541" s="19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22"/>
      <c r="Y541" s="10"/>
      <c r="Z541" s="10"/>
    </row>
    <row r="542">
      <c r="C542" s="19"/>
      <c r="D542" s="19"/>
      <c r="F542" s="20"/>
      <c r="I542" s="10"/>
      <c r="J542" s="21"/>
      <c r="K542" s="19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22"/>
      <c r="Y542" s="10"/>
      <c r="Z542" s="10"/>
    </row>
    <row r="543">
      <c r="C543" s="19"/>
      <c r="D543" s="19"/>
      <c r="F543" s="20"/>
      <c r="I543" s="10"/>
      <c r="J543" s="21"/>
      <c r="K543" s="19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22"/>
      <c r="Y543" s="10"/>
      <c r="Z543" s="10"/>
    </row>
    <row r="544">
      <c r="C544" s="19"/>
      <c r="D544" s="19"/>
      <c r="F544" s="20"/>
      <c r="I544" s="10"/>
      <c r="J544" s="21"/>
      <c r="K544" s="19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22"/>
      <c r="Y544" s="10"/>
      <c r="Z544" s="10"/>
    </row>
    <row r="545">
      <c r="C545" s="19"/>
      <c r="D545" s="19"/>
      <c r="F545" s="20"/>
      <c r="I545" s="10"/>
      <c r="J545" s="21"/>
      <c r="K545" s="19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22"/>
      <c r="Y545" s="10"/>
      <c r="Z545" s="10"/>
    </row>
    <row r="546">
      <c r="C546" s="19"/>
      <c r="D546" s="19"/>
      <c r="F546" s="20"/>
      <c r="I546" s="10"/>
      <c r="J546" s="21"/>
      <c r="K546" s="19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22"/>
      <c r="Y546" s="10"/>
      <c r="Z546" s="10"/>
    </row>
    <row r="547">
      <c r="C547" s="19"/>
      <c r="D547" s="19"/>
      <c r="F547" s="20"/>
      <c r="I547" s="10"/>
      <c r="J547" s="21"/>
      <c r="K547" s="19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22"/>
      <c r="Y547" s="10"/>
      <c r="Z547" s="10"/>
    </row>
    <row r="548">
      <c r="C548" s="19"/>
      <c r="D548" s="19"/>
      <c r="F548" s="20"/>
      <c r="I548" s="10"/>
      <c r="J548" s="21"/>
      <c r="K548" s="19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22"/>
      <c r="Y548" s="10"/>
      <c r="Z548" s="10"/>
    </row>
    <row r="549">
      <c r="C549" s="19"/>
      <c r="D549" s="19"/>
      <c r="F549" s="20"/>
      <c r="I549" s="10"/>
      <c r="J549" s="21"/>
      <c r="K549" s="19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22"/>
      <c r="Y549" s="10"/>
      <c r="Z549" s="10"/>
    </row>
    <row r="550">
      <c r="C550" s="19"/>
      <c r="D550" s="19"/>
      <c r="F550" s="20"/>
      <c r="I550" s="10"/>
      <c r="J550" s="21"/>
      <c r="K550" s="19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22"/>
      <c r="Y550" s="10"/>
      <c r="Z550" s="10"/>
    </row>
    <row r="551">
      <c r="C551" s="19"/>
      <c r="D551" s="19"/>
      <c r="F551" s="20"/>
      <c r="I551" s="10"/>
      <c r="J551" s="21"/>
      <c r="K551" s="19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22"/>
      <c r="Y551" s="10"/>
      <c r="Z551" s="10"/>
    </row>
    <row r="552">
      <c r="C552" s="19"/>
      <c r="D552" s="19"/>
      <c r="F552" s="20"/>
      <c r="I552" s="10"/>
      <c r="J552" s="21"/>
      <c r="K552" s="19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22"/>
      <c r="Y552" s="10"/>
      <c r="Z552" s="10"/>
    </row>
    <row r="553">
      <c r="C553" s="19"/>
      <c r="D553" s="19"/>
      <c r="F553" s="20"/>
      <c r="I553" s="10"/>
      <c r="J553" s="21"/>
      <c r="K553" s="19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22"/>
      <c r="Y553" s="10"/>
      <c r="Z553" s="10"/>
    </row>
    <row r="554">
      <c r="C554" s="19"/>
      <c r="D554" s="19"/>
      <c r="F554" s="20"/>
      <c r="I554" s="10"/>
      <c r="J554" s="21"/>
      <c r="K554" s="19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22"/>
      <c r="Y554" s="10"/>
      <c r="Z554" s="10"/>
    </row>
    <row r="555">
      <c r="C555" s="19"/>
      <c r="D555" s="19"/>
      <c r="F555" s="20"/>
      <c r="I555" s="10"/>
      <c r="J555" s="21"/>
      <c r="K555" s="19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22"/>
      <c r="Y555" s="10"/>
      <c r="Z555" s="10"/>
    </row>
    <row r="556">
      <c r="C556" s="19"/>
      <c r="D556" s="19"/>
      <c r="F556" s="20"/>
      <c r="I556" s="10"/>
      <c r="J556" s="21"/>
      <c r="K556" s="19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22"/>
      <c r="Y556" s="10"/>
      <c r="Z556" s="10"/>
    </row>
    <row r="557">
      <c r="C557" s="19"/>
      <c r="D557" s="19"/>
      <c r="F557" s="20"/>
      <c r="I557" s="10"/>
      <c r="J557" s="21"/>
      <c r="K557" s="19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22"/>
      <c r="Y557" s="10"/>
      <c r="Z557" s="10"/>
    </row>
    <row r="558">
      <c r="C558" s="19"/>
      <c r="D558" s="19"/>
      <c r="F558" s="20"/>
      <c r="I558" s="10"/>
      <c r="J558" s="21"/>
      <c r="K558" s="19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22"/>
      <c r="Y558" s="10"/>
      <c r="Z558" s="10"/>
    </row>
    <row r="559">
      <c r="C559" s="19"/>
      <c r="D559" s="19"/>
      <c r="F559" s="20"/>
      <c r="I559" s="10"/>
      <c r="J559" s="21"/>
      <c r="K559" s="19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22"/>
      <c r="Y559" s="10"/>
      <c r="Z559" s="10"/>
    </row>
    <row r="560">
      <c r="C560" s="19"/>
      <c r="D560" s="19"/>
      <c r="F560" s="20"/>
      <c r="I560" s="10"/>
      <c r="J560" s="21"/>
      <c r="K560" s="19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22"/>
      <c r="Y560" s="10"/>
      <c r="Z560" s="10"/>
    </row>
    <row r="561">
      <c r="C561" s="19"/>
      <c r="D561" s="19"/>
      <c r="F561" s="20"/>
      <c r="I561" s="10"/>
      <c r="J561" s="21"/>
      <c r="K561" s="19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22"/>
      <c r="Y561" s="10"/>
      <c r="Z561" s="10"/>
    </row>
    <row r="562">
      <c r="C562" s="19"/>
      <c r="D562" s="19"/>
      <c r="F562" s="20"/>
      <c r="I562" s="10"/>
      <c r="J562" s="21"/>
      <c r="K562" s="19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22"/>
      <c r="Y562" s="10"/>
      <c r="Z562" s="10"/>
    </row>
    <row r="563">
      <c r="C563" s="19"/>
      <c r="D563" s="19"/>
      <c r="F563" s="20"/>
      <c r="I563" s="10"/>
      <c r="J563" s="21"/>
      <c r="K563" s="19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22"/>
      <c r="Y563" s="10"/>
      <c r="Z563" s="10"/>
    </row>
    <row r="564">
      <c r="C564" s="19"/>
      <c r="D564" s="19"/>
      <c r="F564" s="20"/>
      <c r="I564" s="10"/>
      <c r="J564" s="21"/>
      <c r="K564" s="19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22"/>
      <c r="Y564" s="10"/>
      <c r="Z564" s="10"/>
    </row>
    <row r="565">
      <c r="C565" s="19"/>
      <c r="D565" s="19"/>
      <c r="F565" s="20"/>
      <c r="I565" s="10"/>
      <c r="J565" s="21"/>
      <c r="K565" s="19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22"/>
      <c r="Y565" s="10"/>
      <c r="Z565" s="10"/>
    </row>
    <row r="566">
      <c r="C566" s="19"/>
      <c r="D566" s="19"/>
      <c r="F566" s="20"/>
      <c r="I566" s="10"/>
      <c r="J566" s="21"/>
      <c r="K566" s="19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22"/>
      <c r="Y566" s="10"/>
      <c r="Z566" s="10"/>
    </row>
    <row r="567">
      <c r="C567" s="19"/>
      <c r="D567" s="19"/>
      <c r="F567" s="20"/>
      <c r="I567" s="10"/>
      <c r="J567" s="21"/>
      <c r="K567" s="19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22"/>
      <c r="Y567" s="10"/>
      <c r="Z567" s="10"/>
    </row>
    <row r="568">
      <c r="C568" s="19"/>
      <c r="D568" s="19"/>
      <c r="F568" s="20"/>
      <c r="I568" s="10"/>
      <c r="J568" s="21"/>
      <c r="K568" s="19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22"/>
      <c r="Y568" s="10"/>
      <c r="Z568" s="10"/>
    </row>
    <row r="569">
      <c r="C569" s="19"/>
      <c r="D569" s="19"/>
      <c r="F569" s="20"/>
      <c r="I569" s="10"/>
      <c r="J569" s="21"/>
      <c r="K569" s="19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22"/>
      <c r="Y569" s="10"/>
      <c r="Z569" s="10"/>
    </row>
    <row r="570">
      <c r="C570" s="19"/>
      <c r="D570" s="19"/>
      <c r="F570" s="20"/>
      <c r="I570" s="10"/>
      <c r="J570" s="21"/>
      <c r="K570" s="19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22"/>
      <c r="Y570" s="10"/>
      <c r="Z570" s="10"/>
    </row>
    <row r="571">
      <c r="C571" s="19"/>
      <c r="D571" s="19"/>
      <c r="F571" s="20"/>
      <c r="I571" s="10"/>
      <c r="J571" s="21"/>
      <c r="K571" s="19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22"/>
      <c r="Y571" s="10"/>
      <c r="Z571" s="10"/>
    </row>
    <row r="572">
      <c r="C572" s="19"/>
      <c r="D572" s="19"/>
      <c r="F572" s="20"/>
      <c r="I572" s="10"/>
      <c r="J572" s="21"/>
      <c r="K572" s="19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22"/>
      <c r="Y572" s="10"/>
      <c r="Z572" s="10"/>
    </row>
    <row r="573">
      <c r="C573" s="19"/>
      <c r="D573" s="19"/>
      <c r="F573" s="20"/>
      <c r="I573" s="10"/>
      <c r="J573" s="21"/>
      <c r="K573" s="19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22"/>
      <c r="Y573" s="10"/>
      <c r="Z573" s="10"/>
    </row>
    <row r="574">
      <c r="C574" s="19"/>
      <c r="D574" s="19"/>
      <c r="F574" s="20"/>
      <c r="I574" s="10"/>
      <c r="J574" s="21"/>
      <c r="K574" s="19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22"/>
      <c r="Y574" s="10"/>
      <c r="Z574" s="10"/>
    </row>
    <row r="575">
      <c r="C575" s="19"/>
      <c r="D575" s="19"/>
      <c r="F575" s="20"/>
      <c r="I575" s="10"/>
      <c r="J575" s="21"/>
      <c r="K575" s="19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22"/>
      <c r="Y575" s="10"/>
      <c r="Z575" s="10"/>
    </row>
    <row r="576">
      <c r="C576" s="19"/>
      <c r="D576" s="19"/>
      <c r="F576" s="20"/>
      <c r="I576" s="10"/>
      <c r="J576" s="21"/>
      <c r="K576" s="19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22"/>
      <c r="Y576" s="10"/>
      <c r="Z576" s="10"/>
    </row>
    <row r="577">
      <c r="C577" s="19"/>
      <c r="D577" s="19"/>
      <c r="F577" s="20"/>
      <c r="I577" s="10"/>
      <c r="J577" s="21"/>
      <c r="K577" s="19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22"/>
      <c r="Y577" s="10"/>
      <c r="Z577" s="10"/>
    </row>
    <row r="578">
      <c r="C578" s="19"/>
      <c r="D578" s="19"/>
      <c r="F578" s="20"/>
      <c r="I578" s="10"/>
      <c r="J578" s="21"/>
      <c r="K578" s="19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22"/>
      <c r="Y578" s="10"/>
      <c r="Z578" s="10"/>
    </row>
    <row r="579">
      <c r="C579" s="19"/>
      <c r="D579" s="19"/>
      <c r="F579" s="20"/>
      <c r="I579" s="10"/>
      <c r="J579" s="21"/>
      <c r="K579" s="19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22"/>
      <c r="Y579" s="10"/>
      <c r="Z579" s="10"/>
    </row>
    <row r="580">
      <c r="C580" s="19"/>
      <c r="D580" s="19"/>
      <c r="F580" s="20"/>
      <c r="I580" s="10"/>
      <c r="J580" s="21"/>
      <c r="K580" s="19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22"/>
      <c r="Y580" s="10"/>
      <c r="Z580" s="10"/>
    </row>
    <row r="581">
      <c r="C581" s="19"/>
      <c r="D581" s="19"/>
      <c r="F581" s="20"/>
      <c r="I581" s="10"/>
      <c r="J581" s="21"/>
      <c r="K581" s="19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22"/>
      <c r="Y581" s="10"/>
      <c r="Z581" s="10"/>
    </row>
    <row r="582">
      <c r="C582" s="19"/>
      <c r="D582" s="19"/>
      <c r="F582" s="20"/>
      <c r="I582" s="10"/>
      <c r="J582" s="21"/>
      <c r="K582" s="19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22"/>
      <c r="Y582" s="10"/>
      <c r="Z582" s="10"/>
    </row>
    <row r="583">
      <c r="C583" s="19"/>
      <c r="D583" s="19"/>
      <c r="F583" s="20"/>
      <c r="I583" s="10"/>
      <c r="J583" s="21"/>
      <c r="K583" s="19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22"/>
      <c r="Y583" s="10"/>
      <c r="Z583" s="10"/>
    </row>
    <row r="584">
      <c r="C584" s="19"/>
      <c r="D584" s="19"/>
      <c r="F584" s="20"/>
      <c r="I584" s="10"/>
      <c r="J584" s="21"/>
      <c r="K584" s="19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22"/>
      <c r="Y584" s="10"/>
      <c r="Z584" s="10"/>
    </row>
    <row r="585">
      <c r="C585" s="19"/>
      <c r="D585" s="19"/>
      <c r="F585" s="20"/>
      <c r="I585" s="10"/>
      <c r="J585" s="21"/>
      <c r="K585" s="19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22"/>
      <c r="Y585" s="10"/>
      <c r="Z585" s="10"/>
    </row>
    <row r="586">
      <c r="C586" s="19"/>
      <c r="D586" s="19"/>
      <c r="F586" s="20"/>
      <c r="I586" s="10"/>
      <c r="J586" s="21"/>
      <c r="K586" s="19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22"/>
      <c r="Y586" s="10"/>
      <c r="Z586" s="10"/>
    </row>
    <row r="587">
      <c r="C587" s="19"/>
      <c r="D587" s="19"/>
      <c r="F587" s="20"/>
      <c r="I587" s="10"/>
      <c r="J587" s="21"/>
      <c r="K587" s="19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22"/>
      <c r="Y587" s="10"/>
      <c r="Z587" s="10"/>
    </row>
    <row r="588">
      <c r="C588" s="19"/>
      <c r="D588" s="19"/>
      <c r="F588" s="20"/>
      <c r="I588" s="10"/>
      <c r="J588" s="21"/>
      <c r="K588" s="19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22"/>
      <c r="Y588" s="10"/>
      <c r="Z588" s="10"/>
    </row>
    <row r="589">
      <c r="C589" s="19"/>
      <c r="D589" s="19"/>
      <c r="F589" s="20"/>
      <c r="I589" s="10"/>
      <c r="J589" s="21"/>
      <c r="K589" s="19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22"/>
      <c r="Y589" s="10"/>
      <c r="Z589" s="10"/>
    </row>
    <row r="590">
      <c r="C590" s="19"/>
      <c r="D590" s="19"/>
      <c r="F590" s="20"/>
      <c r="I590" s="10"/>
      <c r="J590" s="21"/>
      <c r="K590" s="19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22"/>
      <c r="Y590" s="10"/>
      <c r="Z590" s="10"/>
    </row>
    <row r="591">
      <c r="C591" s="19"/>
      <c r="D591" s="19"/>
      <c r="F591" s="20"/>
      <c r="I591" s="10"/>
      <c r="J591" s="21"/>
      <c r="K591" s="19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22"/>
      <c r="Y591" s="10"/>
      <c r="Z591" s="10"/>
    </row>
    <row r="592">
      <c r="C592" s="19"/>
      <c r="D592" s="19"/>
      <c r="F592" s="20"/>
      <c r="I592" s="10"/>
      <c r="J592" s="21"/>
      <c r="K592" s="19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22"/>
      <c r="Y592" s="10"/>
      <c r="Z592" s="10"/>
    </row>
    <row r="593">
      <c r="C593" s="19"/>
      <c r="D593" s="19"/>
      <c r="F593" s="20"/>
      <c r="I593" s="10"/>
      <c r="J593" s="21"/>
      <c r="K593" s="19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22"/>
      <c r="Y593" s="10"/>
      <c r="Z593" s="10"/>
    </row>
    <row r="594">
      <c r="C594" s="19"/>
      <c r="D594" s="19"/>
      <c r="F594" s="20"/>
      <c r="I594" s="10"/>
      <c r="J594" s="21"/>
      <c r="K594" s="19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22"/>
      <c r="Y594" s="10"/>
      <c r="Z594" s="10"/>
    </row>
    <row r="595">
      <c r="C595" s="19"/>
      <c r="D595" s="19"/>
      <c r="F595" s="20"/>
      <c r="I595" s="10"/>
      <c r="J595" s="21"/>
      <c r="K595" s="19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22"/>
      <c r="Y595" s="10"/>
      <c r="Z595" s="10"/>
    </row>
    <row r="596">
      <c r="C596" s="19"/>
      <c r="D596" s="19"/>
      <c r="F596" s="20"/>
      <c r="I596" s="10"/>
      <c r="J596" s="21"/>
      <c r="K596" s="19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22"/>
      <c r="Y596" s="10"/>
      <c r="Z596" s="10"/>
    </row>
    <row r="597">
      <c r="C597" s="19"/>
      <c r="D597" s="19"/>
      <c r="F597" s="20"/>
      <c r="I597" s="10"/>
      <c r="J597" s="21"/>
      <c r="K597" s="19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22"/>
      <c r="Y597" s="10"/>
      <c r="Z597" s="10"/>
    </row>
    <row r="598">
      <c r="C598" s="19"/>
      <c r="D598" s="19"/>
      <c r="F598" s="20"/>
      <c r="I598" s="10"/>
      <c r="J598" s="21"/>
      <c r="K598" s="19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22"/>
      <c r="Y598" s="10"/>
      <c r="Z598" s="10"/>
    </row>
    <row r="599">
      <c r="C599" s="19"/>
      <c r="D599" s="19"/>
      <c r="F599" s="20"/>
      <c r="I599" s="10"/>
      <c r="J599" s="21"/>
      <c r="K599" s="19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22"/>
      <c r="Y599" s="10"/>
      <c r="Z599" s="10"/>
    </row>
    <row r="600">
      <c r="C600" s="19"/>
      <c r="D600" s="19"/>
      <c r="F600" s="20"/>
      <c r="I600" s="10"/>
      <c r="J600" s="21"/>
      <c r="K600" s="19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22"/>
      <c r="Y600" s="10"/>
      <c r="Z600" s="10"/>
    </row>
    <row r="601">
      <c r="C601" s="19"/>
      <c r="D601" s="19"/>
      <c r="F601" s="20"/>
      <c r="I601" s="10"/>
      <c r="J601" s="21"/>
      <c r="K601" s="19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22"/>
      <c r="Y601" s="10"/>
      <c r="Z601" s="10"/>
    </row>
    <row r="602">
      <c r="C602" s="19"/>
      <c r="D602" s="19"/>
      <c r="F602" s="20"/>
      <c r="I602" s="10"/>
      <c r="J602" s="21"/>
      <c r="K602" s="19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22"/>
      <c r="Y602" s="10"/>
      <c r="Z602" s="10"/>
    </row>
    <row r="603">
      <c r="C603" s="19"/>
      <c r="D603" s="19"/>
      <c r="F603" s="20"/>
      <c r="I603" s="10"/>
      <c r="J603" s="21"/>
      <c r="K603" s="19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22"/>
      <c r="Y603" s="10"/>
      <c r="Z603" s="10"/>
    </row>
    <row r="604">
      <c r="C604" s="19"/>
      <c r="D604" s="19"/>
      <c r="F604" s="20"/>
      <c r="I604" s="10"/>
      <c r="J604" s="21"/>
      <c r="K604" s="19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22"/>
      <c r="Y604" s="10"/>
      <c r="Z604" s="10"/>
    </row>
    <row r="605">
      <c r="C605" s="19"/>
      <c r="D605" s="19"/>
      <c r="F605" s="20"/>
      <c r="I605" s="10"/>
      <c r="J605" s="21"/>
      <c r="K605" s="19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22"/>
      <c r="Y605" s="10"/>
      <c r="Z605" s="10"/>
    </row>
    <row r="606">
      <c r="C606" s="19"/>
      <c r="D606" s="19"/>
      <c r="F606" s="20"/>
      <c r="I606" s="10"/>
      <c r="J606" s="21"/>
      <c r="K606" s="19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22"/>
      <c r="Y606" s="10"/>
      <c r="Z606" s="10"/>
    </row>
    <row r="607">
      <c r="C607" s="19"/>
      <c r="D607" s="19"/>
      <c r="F607" s="20"/>
      <c r="I607" s="10"/>
      <c r="J607" s="21"/>
      <c r="K607" s="19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22"/>
      <c r="Y607" s="10"/>
      <c r="Z607" s="10"/>
    </row>
    <row r="608">
      <c r="C608" s="19"/>
      <c r="D608" s="19"/>
      <c r="F608" s="20"/>
      <c r="I608" s="10"/>
      <c r="J608" s="21"/>
      <c r="K608" s="19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22"/>
      <c r="Y608" s="10"/>
      <c r="Z608" s="10"/>
    </row>
    <row r="609">
      <c r="C609" s="19"/>
      <c r="D609" s="19"/>
      <c r="F609" s="20"/>
      <c r="I609" s="10"/>
      <c r="J609" s="21"/>
      <c r="K609" s="19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22"/>
      <c r="Y609" s="10"/>
      <c r="Z609" s="10"/>
    </row>
    <row r="610">
      <c r="C610" s="19"/>
      <c r="D610" s="19"/>
      <c r="F610" s="20"/>
      <c r="I610" s="10"/>
      <c r="J610" s="21"/>
      <c r="K610" s="19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22"/>
      <c r="Y610" s="10"/>
      <c r="Z610" s="10"/>
    </row>
    <row r="611">
      <c r="C611" s="19"/>
      <c r="D611" s="19"/>
      <c r="F611" s="20"/>
      <c r="I611" s="10"/>
      <c r="J611" s="21"/>
      <c r="K611" s="19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22"/>
      <c r="Y611" s="10"/>
      <c r="Z611" s="10"/>
    </row>
    <row r="612">
      <c r="C612" s="19"/>
      <c r="D612" s="19"/>
      <c r="F612" s="20"/>
      <c r="I612" s="10"/>
      <c r="J612" s="21"/>
      <c r="K612" s="19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22"/>
      <c r="Y612" s="10"/>
      <c r="Z612" s="10"/>
    </row>
    <row r="613">
      <c r="C613" s="19"/>
      <c r="D613" s="19"/>
      <c r="F613" s="20"/>
      <c r="I613" s="10"/>
      <c r="J613" s="21"/>
      <c r="K613" s="19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22"/>
      <c r="Y613" s="10"/>
      <c r="Z613" s="10"/>
    </row>
    <row r="614">
      <c r="C614" s="19"/>
      <c r="D614" s="19"/>
      <c r="F614" s="20"/>
      <c r="I614" s="10"/>
      <c r="J614" s="21"/>
      <c r="K614" s="19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22"/>
      <c r="Y614" s="10"/>
      <c r="Z614" s="10"/>
    </row>
    <row r="615">
      <c r="C615" s="19"/>
      <c r="D615" s="19"/>
      <c r="F615" s="20"/>
      <c r="I615" s="10"/>
      <c r="J615" s="21"/>
      <c r="K615" s="19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22"/>
      <c r="Y615" s="10"/>
      <c r="Z615" s="10"/>
    </row>
    <row r="616">
      <c r="C616" s="19"/>
      <c r="D616" s="19"/>
      <c r="F616" s="20"/>
      <c r="I616" s="10"/>
      <c r="J616" s="21"/>
      <c r="K616" s="19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22"/>
      <c r="Y616" s="10"/>
      <c r="Z616" s="10"/>
    </row>
    <row r="617">
      <c r="C617" s="19"/>
      <c r="D617" s="19"/>
      <c r="F617" s="20"/>
      <c r="I617" s="10"/>
      <c r="J617" s="21"/>
      <c r="K617" s="19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22"/>
      <c r="Y617" s="10"/>
      <c r="Z617" s="10"/>
    </row>
    <row r="618">
      <c r="C618" s="19"/>
      <c r="D618" s="19"/>
      <c r="F618" s="20"/>
      <c r="I618" s="10"/>
      <c r="J618" s="21"/>
      <c r="K618" s="19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22"/>
      <c r="Y618" s="10"/>
      <c r="Z618" s="10"/>
    </row>
    <row r="619">
      <c r="C619" s="19"/>
      <c r="D619" s="19"/>
      <c r="F619" s="20"/>
      <c r="I619" s="10"/>
      <c r="J619" s="21"/>
      <c r="K619" s="19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22"/>
      <c r="Y619" s="10"/>
      <c r="Z619" s="10"/>
    </row>
    <row r="620">
      <c r="C620" s="19"/>
      <c r="D620" s="19"/>
      <c r="F620" s="20"/>
      <c r="I620" s="10"/>
      <c r="J620" s="21"/>
      <c r="K620" s="19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22"/>
      <c r="Y620" s="10"/>
      <c r="Z620" s="10"/>
    </row>
    <row r="621">
      <c r="C621" s="19"/>
      <c r="D621" s="19"/>
      <c r="F621" s="20"/>
      <c r="I621" s="10"/>
      <c r="J621" s="21"/>
      <c r="K621" s="19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22"/>
      <c r="Y621" s="10"/>
      <c r="Z621" s="10"/>
    </row>
    <row r="622">
      <c r="C622" s="19"/>
      <c r="D622" s="19"/>
      <c r="F622" s="20"/>
      <c r="I622" s="10"/>
      <c r="J622" s="21"/>
      <c r="K622" s="19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22"/>
      <c r="Y622" s="10"/>
      <c r="Z622" s="10"/>
    </row>
    <row r="623">
      <c r="C623" s="19"/>
      <c r="D623" s="19"/>
      <c r="F623" s="20"/>
      <c r="I623" s="10"/>
      <c r="J623" s="21"/>
      <c r="K623" s="19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22"/>
      <c r="Y623" s="10"/>
      <c r="Z623" s="10"/>
    </row>
    <row r="624">
      <c r="C624" s="19"/>
      <c r="D624" s="19"/>
      <c r="F624" s="20"/>
      <c r="I624" s="10"/>
      <c r="J624" s="21"/>
      <c r="K624" s="19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22"/>
      <c r="Y624" s="10"/>
      <c r="Z624" s="10"/>
    </row>
    <row r="625">
      <c r="C625" s="19"/>
      <c r="D625" s="19"/>
      <c r="F625" s="20"/>
      <c r="I625" s="10"/>
      <c r="J625" s="21"/>
      <c r="K625" s="19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22"/>
      <c r="Y625" s="10"/>
      <c r="Z625" s="10"/>
    </row>
    <row r="626">
      <c r="C626" s="19"/>
      <c r="D626" s="19"/>
      <c r="F626" s="20"/>
      <c r="I626" s="10"/>
      <c r="J626" s="21"/>
      <c r="K626" s="19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22"/>
      <c r="Y626" s="10"/>
      <c r="Z626" s="10"/>
    </row>
    <row r="627">
      <c r="C627" s="19"/>
      <c r="D627" s="19"/>
      <c r="F627" s="20"/>
      <c r="I627" s="10"/>
      <c r="J627" s="21"/>
      <c r="K627" s="19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22"/>
      <c r="Y627" s="10"/>
      <c r="Z627" s="10"/>
    </row>
    <row r="628">
      <c r="C628" s="19"/>
      <c r="D628" s="19"/>
      <c r="F628" s="20"/>
      <c r="I628" s="10"/>
      <c r="J628" s="21"/>
      <c r="K628" s="19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22"/>
      <c r="Y628" s="10"/>
      <c r="Z628" s="10"/>
    </row>
    <row r="629">
      <c r="C629" s="19"/>
      <c r="D629" s="19"/>
      <c r="F629" s="20"/>
      <c r="I629" s="10"/>
      <c r="J629" s="21"/>
      <c r="K629" s="19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22"/>
      <c r="Y629" s="10"/>
      <c r="Z629" s="10"/>
    </row>
    <row r="630">
      <c r="C630" s="19"/>
      <c r="D630" s="19"/>
      <c r="F630" s="20"/>
      <c r="I630" s="10"/>
      <c r="J630" s="21"/>
      <c r="K630" s="19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22"/>
      <c r="Y630" s="10"/>
      <c r="Z630" s="10"/>
    </row>
    <row r="631">
      <c r="C631" s="19"/>
      <c r="D631" s="19"/>
      <c r="F631" s="20"/>
      <c r="I631" s="10"/>
      <c r="J631" s="21"/>
      <c r="K631" s="19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22"/>
      <c r="Y631" s="10"/>
      <c r="Z631" s="10"/>
    </row>
    <row r="632">
      <c r="C632" s="19"/>
      <c r="D632" s="19"/>
      <c r="F632" s="20"/>
      <c r="I632" s="10"/>
      <c r="J632" s="21"/>
      <c r="K632" s="19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22"/>
      <c r="Y632" s="10"/>
      <c r="Z632" s="10"/>
    </row>
    <row r="633">
      <c r="C633" s="19"/>
      <c r="D633" s="19"/>
      <c r="F633" s="20"/>
      <c r="I633" s="10"/>
      <c r="J633" s="21"/>
      <c r="K633" s="19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22"/>
      <c r="Y633" s="10"/>
      <c r="Z633" s="10"/>
    </row>
    <row r="634">
      <c r="C634" s="19"/>
      <c r="D634" s="19"/>
      <c r="F634" s="20"/>
      <c r="I634" s="10"/>
      <c r="J634" s="21"/>
      <c r="K634" s="19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22"/>
      <c r="Y634" s="10"/>
      <c r="Z634" s="10"/>
    </row>
    <row r="635">
      <c r="C635" s="19"/>
      <c r="D635" s="19"/>
      <c r="F635" s="20"/>
      <c r="I635" s="10"/>
      <c r="J635" s="21"/>
      <c r="K635" s="19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22"/>
      <c r="Y635" s="10"/>
      <c r="Z635" s="10"/>
    </row>
    <row r="636">
      <c r="C636" s="19"/>
      <c r="D636" s="19"/>
      <c r="F636" s="20"/>
      <c r="I636" s="10"/>
      <c r="J636" s="21"/>
      <c r="K636" s="19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22"/>
      <c r="Y636" s="10"/>
      <c r="Z636" s="10"/>
    </row>
    <row r="637">
      <c r="C637" s="19"/>
      <c r="D637" s="19"/>
      <c r="F637" s="20"/>
      <c r="I637" s="10"/>
      <c r="J637" s="21"/>
      <c r="K637" s="19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22"/>
      <c r="Y637" s="10"/>
      <c r="Z637" s="10"/>
    </row>
    <row r="638">
      <c r="C638" s="19"/>
      <c r="D638" s="19"/>
      <c r="F638" s="20"/>
      <c r="I638" s="10"/>
      <c r="J638" s="21"/>
      <c r="K638" s="19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22"/>
      <c r="Y638" s="10"/>
      <c r="Z638" s="10"/>
    </row>
    <row r="639">
      <c r="C639" s="19"/>
      <c r="D639" s="19"/>
      <c r="F639" s="20"/>
      <c r="I639" s="10"/>
      <c r="J639" s="21"/>
      <c r="K639" s="19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22"/>
      <c r="Y639" s="10"/>
      <c r="Z639" s="10"/>
    </row>
    <row r="640">
      <c r="C640" s="19"/>
      <c r="D640" s="19"/>
      <c r="F640" s="20"/>
      <c r="I640" s="10"/>
      <c r="J640" s="21"/>
      <c r="K640" s="19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22"/>
      <c r="Y640" s="10"/>
      <c r="Z640" s="10"/>
    </row>
    <row r="641">
      <c r="C641" s="19"/>
      <c r="D641" s="19"/>
      <c r="F641" s="20"/>
      <c r="I641" s="10"/>
      <c r="J641" s="21"/>
      <c r="K641" s="19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22"/>
      <c r="Y641" s="10"/>
      <c r="Z641" s="10"/>
    </row>
    <row r="642">
      <c r="C642" s="19"/>
      <c r="D642" s="19"/>
      <c r="F642" s="20"/>
      <c r="I642" s="10"/>
      <c r="J642" s="21"/>
      <c r="K642" s="19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22"/>
      <c r="Y642" s="10"/>
      <c r="Z642" s="10"/>
    </row>
    <row r="643">
      <c r="C643" s="19"/>
      <c r="D643" s="19"/>
      <c r="F643" s="20"/>
      <c r="I643" s="10"/>
      <c r="J643" s="21"/>
      <c r="K643" s="19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22"/>
      <c r="Y643" s="10"/>
      <c r="Z643" s="10"/>
    </row>
    <row r="644">
      <c r="C644" s="19"/>
      <c r="D644" s="19"/>
      <c r="F644" s="20"/>
      <c r="I644" s="10"/>
      <c r="J644" s="21"/>
      <c r="K644" s="19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22"/>
      <c r="Y644" s="10"/>
      <c r="Z644" s="10"/>
    </row>
    <row r="645">
      <c r="C645" s="19"/>
      <c r="D645" s="19"/>
      <c r="F645" s="20"/>
      <c r="I645" s="10"/>
      <c r="J645" s="21"/>
      <c r="K645" s="19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22"/>
      <c r="Y645" s="10"/>
      <c r="Z645" s="10"/>
    </row>
    <row r="646">
      <c r="C646" s="19"/>
      <c r="D646" s="19"/>
      <c r="F646" s="20"/>
      <c r="I646" s="10"/>
      <c r="J646" s="21"/>
      <c r="K646" s="19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22"/>
      <c r="Y646" s="10"/>
      <c r="Z646" s="10"/>
    </row>
    <row r="647">
      <c r="C647" s="19"/>
      <c r="D647" s="19"/>
      <c r="F647" s="20"/>
      <c r="I647" s="10"/>
      <c r="J647" s="21"/>
      <c r="K647" s="19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22"/>
      <c r="Y647" s="10"/>
      <c r="Z647" s="10"/>
    </row>
    <row r="648">
      <c r="C648" s="19"/>
      <c r="D648" s="19"/>
      <c r="F648" s="20"/>
      <c r="I648" s="10"/>
      <c r="J648" s="21"/>
      <c r="K648" s="19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22"/>
      <c r="Y648" s="10"/>
      <c r="Z648" s="10"/>
    </row>
    <row r="649">
      <c r="C649" s="19"/>
      <c r="D649" s="19"/>
      <c r="F649" s="20"/>
      <c r="I649" s="10"/>
      <c r="J649" s="21"/>
      <c r="K649" s="19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22"/>
      <c r="Y649" s="10"/>
      <c r="Z649" s="10"/>
    </row>
    <row r="650">
      <c r="C650" s="19"/>
      <c r="D650" s="19"/>
      <c r="F650" s="20"/>
      <c r="I650" s="10"/>
      <c r="J650" s="21"/>
      <c r="K650" s="19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22"/>
      <c r="Y650" s="10"/>
      <c r="Z650" s="10"/>
    </row>
    <row r="651">
      <c r="C651" s="19"/>
      <c r="D651" s="19"/>
      <c r="F651" s="20"/>
      <c r="I651" s="10"/>
      <c r="J651" s="21"/>
      <c r="K651" s="19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22"/>
      <c r="Y651" s="10"/>
      <c r="Z651" s="10"/>
    </row>
    <row r="652">
      <c r="C652" s="19"/>
      <c r="D652" s="19"/>
      <c r="F652" s="20"/>
      <c r="I652" s="10"/>
      <c r="J652" s="21"/>
      <c r="K652" s="19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22"/>
      <c r="Y652" s="10"/>
      <c r="Z652" s="10"/>
    </row>
    <row r="653">
      <c r="C653" s="19"/>
      <c r="D653" s="19"/>
      <c r="F653" s="20"/>
      <c r="I653" s="10"/>
      <c r="J653" s="21"/>
      <c r="K653" s="19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22"/>
      <c r="Y653" s="10"/>
      <c r="Z653" s="10"/>
    </row>
    <row r="654">
      <c r="C654" s="19"/>
      <c r="D654" s="19"/>
      <c r="F654" s="20"/>
      <c r="I654" s="10"/>
      <c r="J654" s="21"/>
      <c r="K654" s="19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22"/>
      <c r="Y654" s="10"/>
      <c r="Z654" s="10"/>
    </row>
    <row r="655">
      <c r="C655" s="19"/>
      <c r="D655" s="19"/>
      <c r="F655" s="20"/>
      <c r="I655" s="10"/>
      <c r="J655" s="21"/>
      <c r="K655" s="19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22"/>
      <c r="Y655" s="10"/>
      <c r="Z655" s="10"/>
    </row>
    <row r="656">
      <c r="C656" s="19"/>
      <c r="D656" s="19"/>
      <c r="F656" s="20"/>
      <c r="I656" s="10"/>
      <c r="J656" s="21"/>
      <c r="K656" s="19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22"/>
      <c r="Y656" s="10"/>
      <c r="Z656" s="10"/>
    </row>
    <row r="657">
      <c r="C657" s="19"/>
      <c r="D657" s="19"/>
      <c r="F657" s="20"/>
      <c r="I657" s="10"/>
      <c r="J657" s="21"/>
      <c r="K657" s="19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22"/>
      <c r="Y657" s="10"/>
      <c r="Z657" s="10"/>
    </row>
    <row r="658">
      <c r="C658" s="19"/>
      <c r="D658" s="19"/>
      <c r="F658" s="20"/>
      <c r="I658" s="10"/>
      <c r="J658" s="21"/>
      <c r="K658" s="19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22"/>
      <c r="Y658" s="10"/>
      <c r="Z658" s="10"/>
    </row>
    <row r="659">
      <c r="C659" s="19"/>
      <c r="D659" s="19"/>
      <c r="F659" s="20"/>
      <c r="I659" s="10"/>
      <c r="J659" s="21"/>
      <c r="K659" s="19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22"/>
      <c r="Y659" s="10"/>
      <c r="Z659" s="10"/>
    </row>
    <row r="660">
      <c r="C660" s="19"/>
      <c r="D660" s="19"/>
      <c r="F660" s="20"/>
      <c r="I660" s="10"/>
      <c r="J660" s="21"/>
      <c r="K660" s="19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22"/>
      <c r="Y660" s="10"/>
      <c r="Z660" s="10"/>
    </row>
    <row r="661">
      <c r="C661" s="19"/>
      <c r="D661" s="19"/>
      <c r="F661" s="20"/>
      <c r="I661" s="10"/>
      <c r="J661" s="21"/>
      <c r="K661" s="19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22"/>
      <c r="Y661" s="10"/>
      <c r="Z661" s="10"/>
    </row>
    <row r="662">
      <c r="C662" s="19"/>
      <c r="D662" s="19"/>
      <c r="F662" s="20"/>
      <c r="I662" s="10"/>
      <c r="J662" s="21"/>
      <c r="K662" s="19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22"/>
      <c r="Y662" s="10"/>
      <c r="Z662" s="10"/>
    </row>
    <row r="663">
      <c r="C663" s="19"/>
      <c r="D663" s="19"/>
      <c r="F663" s="20"/>
      <c r="I663" s="10"/>
      <c r="J663" s="21"/>
      <c r="K663" s="19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22"/>
      <c r="Y663" s="10"/>
      <c r="Z663" s="10"/>
    </row>
    <row r="664">
      <c r="C664" s="19"/>
      <c r="D664" s="19"/>
      <c r="F664" s="20"/>
      <c r="I664" s="10"/>
      <c r="J664" s="21"/>
      <c r="K664" s="19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22"/>
      <c r="Y664" s="10"/>
      <c r="Z664" s="10"/>
    </row>
    <row r="665">
      <c r="C665" s="19"/>
      <c r="D665" s="19"/>
      <c r="F665" s="20"/>
      <c r="I665" s="10"/>
      <c r="J665" s="21"/>
      <c r="K665" s="19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22"/>
      <c r="Y665" s="10"/>
      <c r="Z665" s="10"/>
    </row>
    <row r="666">
      <c r="C666" s="19"/>
      <c r="D666" s="19"/>
      <c r="F666" s="20"/>
      <c r="I666" s="10"/>
      <c r="J666" s="21"/>
      <c r="K666" s="19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22"/>
      <c r="Y666" s="10"/>
      <c r="Z666" s="10"/>
    </row>
    <row r="667">
      <c r="C667" s="19"/>
      <c r="D667" s="19"/>
      <c r="F667" s="20"/>
      <c r="I667" s="10"/>
      <c r="J667" s="21"/>
      <c r="K667" s="19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22"/>
      <c r="Y667" s="10"/>
      <c r="Z667" s="10"/>
    </row>
    <row r="668">
      <c r="C668" s="19"/>
      <c r="D668" s="19"/>
      <c r="F668" s="20"/>
      <c r="I668" s="10"/>
      <c r="J668" s="21"/>
      <c r="K668" s="19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22"/>
      <c r="Y668" s="10"/>
      <c r="Z668" s="10"/>
    </row>
    <row r="669">
      <c r="C669" s="19"/>
      <c r="D669" s="19"/>
      <c r="F669" s="20"/>
      <c r="I669" s="10"/>
      <c r="J669" s="21"/>
      <c r="K669" s="19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22"/>
      <c r="Y669" s="10"/>
      <c r="Z669" s="10"/>
    </row>
    <row r="670">
      <c r="C670" s="19"/>
      <c r="D670" s="19"/>
      <c r="F670" s="20"/>
      <c r="I670" s="10"/>
      <c r="J670" s="21"/>
      <c r="K670" s="19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22"/>
      <c r="Y670" s="10"/>
      <c r="Z670" s="10"/>
    </row>
    <row r="671">
      <c r="C671" s="19"/>
      <c r="D671" s="19"/>
      <c r="F671" s="20"/>
      <c r="I671" s="10"/>
      <c r="J671" s="21"/>
      <c r="K671" s="19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22"/>
      <c r="Y671" s="10"/>
      <c r="Z671" s="10"/>
    </row>
    <row r="672">
      <c r="C672" s="19"/>
      <c r="D672" s="19"/>
      <c r="F672" s="20"/>
      <c r="I672" s="10"/>
      <c r="J672" s="21"/>
      <c r="K672" s="19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22"/>
      <c r="Y672" s="10"/>
      <c r="Z672" s="10"/>
    </row>
    <row r="673">
      <c r="C673" s="19"/>
      <c r="D673" s="19"/>
      <c r="F673" s="20"/>
      <c r="I673" s="10"/>
      <c r="J673" s="21"/>
      <c r="K673" s="19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22"/>
      <c r="Y673" s="10"/>
      <c r="Z673" s="10"/>
    </row>
    <row r="674">
      <c r="C674" s="19"/>
      <c r="D674" s="19"/>
      <c r="F674" s="20"/>
      <c r="I674" s="10"/>
      <c r="J674" s="21"/>
      <c r="K674" s="19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22"/>
      <c r="Y674" s="10"/>
      <c r="Z674" s="10"/>
    </row>
    <row r="675">
      <c r="C675" s="19"/>
      <c r="D675" s="19"/>
      <c r="F675" s="20"/>
      <c r="I675" s="10"/>
      <c r="J675" s="21"/>
      <c r="K675" s="19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22"/>
      <c r="Y675" s="10"/>
      <c r="Z675" s="10"/>
    </row>
    <row r="676">
      <c r="C676" s="19"/>
      <c r="D676" s="19"/>
      <c r="F676" s="20"/>
      <c r="I676" s="10"/>
      <c r="J676" s="21"/>
      <c r="K676" s="19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22"/>
      <c r="Y676" s="10"/>
      <c r="Z676" s="10"/>
    </row>
    <row r="677">
      <c r="C677" s="19"/>
      <c r="D677" s="19"/>
      <c r="F677" s="20"/>
      <c r="I677" s="10"/>
      <c r="J677" s="21"/>
      <c r="K677" s="19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22"/>
      <c r="Y677" s="10"/>
      <c r="Z677" s="10"/>
    </row>
    <row r="678">
      <c r="C678" s="19"/>
      <c r="D678" s="19"/>
      <c r="F678" s="20"/>
      <c r="I678" s="10"/>
      <c r="J678" s="21"/>
      <c r="K678" s="19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22"/>
      <c r="Y678" s="10"/>
      <c r="Z678" s="10"/>
    </row>
    <row r="679">
      <c r="C679" s="19"/>
      <c r="D679" s="19"/>
      <c r="F679" s="20"/>
      <c r="I679" s="10"/>
      <c r="J679" s="21"/>
      <c r="K679" s="19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22"/>
      <c r="Y679" s="10"/>
      <c r="Z679" s="10"/>
    </row>
    <row r="680">
      <c r="C680" s="19"/>
      <c r="D680" s="19"/>
      <c r="F680" s="20"/>
      <c r="I680" s="10"/>
      <c r="J680" s="21"/>
      <c r="K680" s="19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22"/>
      <c r="Y680" s="10"/>
      <c r="Z680" s="10"/>
    </row>
    <row r="681">
      <c r="C681" s="19"/>
      <c r="D681" s="19"/>
      <c r="F681" s="20"/>
      <c r="I681" s="10"/>
      <c r="J681" s="21"/>
      <c r="K681" s="19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22"/>
      <c r="Y681" s="10"/>
      <c r="Z681" s="10"/>
    </row>
    <row r="682">
      <c r="C682" s="19"/>
      <c r="D682" s="19"/>
      <c r="F682" s="20"/>
      <c r="I682" s="10"/>
      <c r="J682" s="21"/>
      <c r="K682" s="19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22"/>
      <c r="Y682" s="10"/>
      <c r="Z682" s="10"/>
    </row>
    <row r="683">
      <c r="C683" s="19"/>
      <c r="D683" s="19"/>
      <c r="F683" s="20"/>
      <c r="I683" s="10"/>
      <c r="J683" s="21"/>
      <c r="K683" s="19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22"/>
      <c r="Y683" s="10"/>
      <c r="Z683" s="10"/>
    </row>
    <row r="684">
      <c r="C684" s="19"/>
      <c r="D684" s="19"/>
      <c r="F684" s="20"/>
      <c r="I684" s="10"/>
      <c r="J684" s="21"/>
      <c r="K684" s="19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22"/>
      <c r="Y684" s="10"/>
      <c r="Z684" s="10"/>
    </row>
    <row r="685">
      <c r="C685" s="19"/>
      <c r="D685" s="19"/>
      <c r="F685" s="20"/>
      <c r="I685" s="10"/>
      <c r="J685" s="21"/>
      <c r="K685" s="19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22"/>
      <c r="Y685" s="10"/>
      <c r="Z685" s="10"/>
    </row>
    <row r="686">
      <c r="C686" s="19"/>
      <c r="D686" s="19"/>
      <c r="F686" s="20"/>
      <c r="I686" s="10"/>
      <c r="J686" s="21"/>
      <c r="K686" s="19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22"/>
      <c r="Y686" s="10"/>
      <c r="Z686" s="10"/>
    </row>
    <row r="687">
      <c r="C687" s="19"/>
      <c r="D687" s="19"/>
      <c r="F687" s="20"/>
      <c r="I687" s="10"/>
      <c r="J687" s="21"/>
      <c r="K687" s="19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22"/>
      <c r="Y687" s="10"/>
      <c r="Z687" s="10"/>
    </row>
    <row r="688">
      <c r="C688" s="19"/>
      <c r="D688" s="19"/>
      <c r="F688" s="20"/>
      <c r="I688" s="10"/>
      <c r="J688" s="21"/>
      <c r="K688" s="19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22"/>
      <c r="Y688" s="10"/>
      <c r="Z688" s="10"/>
    </row>
    <row r="689">
      <c r="C689" s="19"/>
      <c r="D689" s="19"/>
      <c r="F689" s="20"/>
      <c r="I689" s="10"/>
      <c r="J689" s="21"/>
      <c r="K689" s="19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22"/>
      <c r="Y689" s="10"/>
      <c r="Z689" s="10"/>
    </row>
    <row r="690">
      <c r="C690" s="19"/>
      <c r="D690" s="19"/>
      <c r="F690" s="20"/>
      <c r="I690" s="10"/>
      <c r="J690" s="21"/>
      <c r="K690" s="19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22"/>
      <c r="Y690" s="10"/>
      <c r="Z690" s="10"/>
    </row>
    <row r="691">
      <c r="C691" s="19"/>
      <c r="D691" s="19"/>
      <c r="F691" s="20"/>
      <c r="I691" s="10"/>
      <c r="J691" s="21"/>
      <c r="K691" s="19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22"/>
      <c r="Y691" s="10"/>
      <c r="Z691" s="10"/>
    </row>
    <row r="692">
      <c r="C692" s="19"/>
      <c r="D692" s="19"/>
      <c r="F692" s="20"/>
      <c r="I692" s="10"/>
      <c r="J692" s="21"/>
      <c r="K692" s="19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22"/>
      <c r="Y692" s="10"/>
      <c r="Z692" s="10"/>
    </row>
    <row r="693">
      <c r="C693" s="19"/>
      <c r="D693" s="19"/>
      <c r="F693" s="20"/>
      <c r="I693" s="10"/>
      <c r="J693" s="21"/>
      <c r="K693" s="19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22"/>
      <c r="Y693" s="10"/>
      <c r="Z693" s="10"/>
    </row>
    <row r="694">
      <c r="C694" s="19"/>
      <c r="D694" s="19"/>
      <c r="F694" s="20"/>
      <c r="I694" s="10"/>
      <c r="J694" s="21"/>
      <c r="K694" s="19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22"/>
      <c r="Y694" s="10"/>
      <c r="Z694" s="10"/>
    </row>
    <row r="695">
      <c r="C695" s="19"/>
      <c r="D695" s="19"/>
      <c r="F695" s="20"/>
      <c r="I695" s="10"/>
      <c r="J695" s="21"/>
      <c r="K695" s="19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22"/>
      <c r="Y695" s="10"/>
      <c r="Z695" s="10"/>
    </row>
    <row r="696">
      <c r="C696" s="19"/>
      <c r="D696" s="19"/>
      <c r="F696" s="20"/>
      <c r="I696" s="10"/>
      <c r="J696" s="21"/>
      <c r="K696" s="19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22"/>
      <c r="Y696" s="10"/>
      <c r="Z696" s="10"/>
    </row>
    <row r="697">
      <c r="C697" s="19"/>
      <c r="D697" s="19"/>
      <c r="F697" s="20"/>
      <c r="I697" s="10"/>
      <c r="J697" s="21"/>
      <c r="K697" s="19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22"/>
      <c r="Y697" s="10"/>
      <c r="Z697" s="10"/>
    </row>
    <row r="698">
      <c r="C698" s="19"/>
      <c r="D698" s="19"/>
      <c r="F698" s="20"/>
      <c r="I698" s="10"/>
      <c r="J698" s="21"/>
      <c r="K698" s="19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22"/>
      <c r="Y698" s="10"/>
      <c r="Z698" s="10"/>
    </row>
    <row r="699">
      <c r="C699" s="19"/>
      <c r="D699" s="19"/>
      <c r="F699" s="20"/>
      <c r="I699" s="10"/>
      <c r="J699" s="21"/>
      <c r="K699" s="19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22"/>
      <c r="Y699" s="10"/>
      <c r="Z699" s="10"/>
    </row>
    <row r="700">
      <c r="C700" s="19"/>
      <c r="D700" s="19"/>
      <c r="F700" s="20"/>
      <c r="I700" s="10"/>
      <c r="J700" s="21"/>
      <c r="K700" s="19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22"/>
      <c r="Y700" s="10"/>
      <c r="Z700" s="10"/>
    </row>
    <row r="701">
      <c r="C701" s="19"/>
      <c r="D701" s="19"/>
      <c r="F701" s="20"/>
      <c r="I701" s="10"/>
      <c r="J701" s="21"/>
      <c r="K701" s="19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22"/>
      <c r="Y701" s="10"/>
      <c r="Z701" s="10"/>
    </row>
    <row r="702">
      <c r="C702" s="19"/>
      <c r="D702" s="19"/>
      <c r="F702" s="20"/>
      <c r="I702" s="10"/>
      <c r="J702" s="21"/>
      <c r="K702" s="19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22"/>
      <c r="Y702" s="10"/>
      <c r="Z702" s="10"/>
    </row>
    <row r="703">
      <c r="C703" s="19"/>
      <c r="D703" s="19"/>
      <c r="F703" s="20"/>
      <c r="I703" s="10"/>
      <c r="J703" s="21"/>
      <c r="K703" s="19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22"/>
      <c r="Y703" s="10"/>
      <c r="Z703" s="10"/>
    </row>
    <row r="704">
      <c r="C704" s="19"/>
      <c r="D704" s="19"/>
      <c r="F704" s="20"/>
      <c r="I704" s="10"/>
      <c r="J704" s="21"/>
      <c r="K704" s="19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22"/>
      <c r="Y704" s="10"/>
      <c r="Z704" s="10"/>
    </row>
    <row r="705">
      <c r="C705" s="19"/>
      <c r="D705" s="19"/>
      <c r="F705" s="20"/>
      <c r="I705" s="10"/>
      <c r="J705" s="21"/>
      <c r="K705" s="19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22"/>
      <c r="Y705" s="10"/>
      <c r="Z705" s="10"/>
    </row>
    <row r="706">
      <c r="C706" s="19"/>
      <c r="D706" s="19"/>
      <c r="F706" s="20"/>
      <c r="I706" s="10"/>
      <c r="J706" s="21"/>
      <c r="K706" s="19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22"/>
      <c r="Y706" s="10"/>
      <c r="Z706" s="10"/>
    </row>
    <row r="707">
      <c r="C707" s="19"/>
      <c r="D707" s="19"/>
      <c r="F707" s="20"/>
      <c r="I707" s="10"/>
      <c r="J707" s="21"/>
      <c r="K707" s="19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22"/>
      <c r="Y707" s="10"/>
      <c r="Z707" s="10"/>
    </row>
    <row r="708">
      <c r="C708" s="19"/>
      <c r="D708" s="19"/>
      <c r="F708" s="20"/>
      <c r="I708" s="10"/>
      <c r="J708" s="21"/>
      <c r="K708" s="19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22"/>
      <c r="Y708" s="10"/>
      <c r="Z708" s="10"/>
    </row>
    <row r="709">
      <c r="C709" s="19"/>
      <c r="D709" s="19"/>
      <c r="F709" s="20"/>
      <c r="I709" s="10"/>
      <c r="J709" s="21"/>
      <c r="K709" s="19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22"/>
      <c r="Y709" s="10"/>
      <c r="Z709" s="10"/>
    </row>
    <row r="710">
      <c r="C710" s="19"/>
      <c r="D710" s="19"/>
      <c r="F710" s="20"/>
      <c r="I710" s="10"/>
      <c r="J710" s="21"/>
      <c r="K710" s="19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22"/>
      <c r="Y710" s="10"/>
      <c r="Z710" s="10"/>
    </row>
    <row r="711">
      <c r="C711" s="19"/>
      <c r="D711" s="19"/>
      <c r="F711" s="20"/>
      <c r="I711" s="10"/>
      <c r="J711" s="21"/>
      <c r="K711" s="19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22"/>
      <c r="Y711" s="10"/>
      <c r="Z711" s="10"/>
    </row>
    <row r="712">
      <c r="C712" s="19"/>
      <c r="D712" s="19"/>
      <c r="F712" s="20"/>
      <c r="I712" s="10"/>
      <c r="J712" s="21"/>
      <c r="K712" s="19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22"/>
      <c r="Y712" s="10"/>
      <c r="Z712" s="10"/>
    </row>
    <row r="713">
      <c r="C713" s="19"/>
      <c r="D713" s="19"/>
      <c r="F713" s="20"/>
      <c r="I713" s="10"/>
      <c r="J713" s="21"/>
      <c r="K713" s="19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22"/>
      <c r="Y713" s="10"/>
      <c r="Z713" s="10"/>
    </row>
    <row r="714">
      <c r="C714" s="19"/>
      <c r="D714" s="19"/>
      <c r="F714" s="20"/>
      <c r="I714" s="10"/>
      <c r="J714" s="21"/>
      <c r="K714" s="19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22"/>
      <c r="Y714" s="10"/>
      <c r="Z714" s="10"/>
    </row>
    <row r="715">
      <c r="C715" s="19"/>
      <c r="D715" s="19"/>
      <c r="F715" s="20"/>
      <c r="I715" s="10"/>
      <c r="J715" s="21"/>
      <c r="K715" s="19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22"/>
      <c r="Y715" s="10"/>
      <c r="Z715" s="10"/>
    </row>
    <row r="716">
      <c r="C716" s="19"/>
      <c r="D716" s="19"/>
      <c r="F716" s="20"/>
      <c r="I716" s="10"/>
      <c r="J716" s="21"/>
      <c r="K716" s="19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22"/>
      <c r="Y716" s="10"/>
      <c r="Z716" s="10"/>
    </row>
    <row r="717">
      <c r="C717" s="19"/>
      <c r="D717" s="19"/>
      <c r="F717" s="20"/>
      <c r="I717" s="10"/>
      <c r="J717" s="21"/>
      <c r="K717" s="19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22"/>
      <c r="Y717" s="10"/>
      <c r="Z717" s="10"/>
    </row>
    <row r="718">
      <c r="C718" s="19"/>
      <c r="D718" s="19"/>
      <c r="F718" s="20"/>
      <c r="I718" s="10"/>
      <c r="J718" s="21"/>
      <c r="K718" s="19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22"/>
      <c r="Y718" s="10"/>
      <c r="Z718" s="10"/>
    </row>
    <row r="719">
      <c r="C719" s="19"/>
      <c r="D719" s="19"/>
      <c r="F719" s="20"/>
      <c r="I719" s="10"/>
      <c r="J719" s="21"/>
      <c r="K719" s="19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22"/>
      <c r="Y719" s="10"/>
      <c r="Z719" s="10"/>
    </row>
    <row r="720">
      <c r="C720" s="19"/>
      <c r="D720" s="19"/>
      <c r="F720" s="20"/>
      <c r="I720" s="10"/>
      <c r="J720" s="21"/>
      <c r="K720" s="19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22"/>
      <c r="Y720" s="10"/>
      <c r="Z720" s="10"/>
    </row>
    <row r="721">
      <c r="C721" s="19"/>
      <c r="D721" s="19"/>
      <c r="F721" s="20"/>
      <c r="I721" s="10"/>
      <c r="J721" s="21"/>
      <c r="K721" s="19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22"/>
      <c r="Y721" s="10"/>
      <c r="Z721" s="10"/>
    </row>
    <row r="722">
      <c r="C722" s="19"/>
      <c r="D722" s="19"/>
      <c r="F722" s="20"/>
      <c r="I722" s="10"/>
      <c r="J722" s="21"/>
      <c r="K722" s="19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22"/>
      <c r="Y722" s="10"/>
      <c r="Z722" s="10"/>
    </row>
    <row r="723">
      <c r="C723" s="19"/>
      <c r="D723" s="19"/>
      <c r="F723" s="20"/>
      <c r="I723" s="10"/>
      <c r="J723" s="21"/>
      <c r="K723" s="19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22"/>
      <c r="Y723" s="10"/>
      <c r="Z723" s="10"/>
    </row>
    <row r="724">
      <c r="C724" s="19"/>
      <c r="D724" s="19"/>
      <c r="F724" s="20"/>
      <c r="I724" s="10"/>
      <c r="J724" s="21"/>
      <c r="K724" s="19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22"/>
      <c r="Y724" s="10"/>
      <c r="Z724" s="10"/>
    </row>
    <row r="725">
      <c r="C725" s="19"/>
      <c r="D725" s="19"/>
      <c r="F725" s="20"/>
      <c r="I725" s="10"/>
      <c r="J725" s="21"/>
      <c r="K725" s="19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22"/>
      <c r="Y725" s="10"/>
      <c r="Z725" s="10"/>
    </row>
    <row r="726">
      <c r="C726" s="19"/>
      <c r="D726" s="19"/>
      <c r="F726" s="20"/>
      <c r="I726" s="10"/>
      <c r="J726" s="21"/>
      <c r="K726" s="19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22"/>
      <c r="Y726" s="10"/>
      <c r="Z726" s="10"/>
    </row>
    <row r="727">
      <c r="C727" s="19"/>
      <c r="D727" s="19"/>
      <c r="F727" s="20"/>
      <c r="I727" s="10"/>
      <c r="J727" s="21"/>
      <c r="K727" s="19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22"/>
      <c r="Y727" s="10"/>
      <c r="Z727" s="10"/>
    </row>
    <row r="728">
      <c r="C728" s="19"/>
      <c r="D728" s="19"/>
      <c r="F728" s="20"/>
      <c r="I728" s="10"/>
      <c r="J728" s="21"/>
      <c r="K728" s="19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22"/>
      <c r="Y728" s="10"/>
      <c r="Z728" s="10"/>
    </row>
    <row r="729">
      <c r="C729" s="19"/>
      <c r="D729" s="19"/>
      <c r="F729" s="20"/>
      <c r="I729" s="10"/>
      <c r="J729" s="21"/>
      <c r="K729" s="19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22"/>
      <c r="Y729" s="10"/>
      <c r="Z729" s="10"/>
    </row>
    <row r="730">
      <c r="C730" s="19"/>
      <c r="D730" s="19"/>
      <c r="F730" s="20"/>
      <c r="I730" s="10"/>
      <c r="J730" s="21"/>
      <c r="K730" s="19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22"/>
      <c r="Y730" s="10"/>
      <c r="Z730" s="10"/>
    </row>
    <row r="731">
      <c r="C731" s="19"/>
      <c r="D731" s="19"/>
      <c r="F731" s="20"/>
      <c r="I731" s="10"/>
      <c r="J731" s="21"/>
      <c r="K731" s="19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22"/>
      <c r="Y731" s="10"/>
      <c r="Z731" s="10"/>
    </row>
    <row r="732">
      <c r="C732" s="19"/>
      <c r="D732" s="19"/>
      <c r="F732" s="20"/>
      <c r="I732" s="10"/>
      <c r="J732" s="21"/>
      <c r="K732" s="19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22"/>
      <c r="Y732" s="10"/>
      <c r="Z732" s="10"/>
    </row>
    <row r="733">
      <c r="C733" s="19"/>
      <c r="D733" s="19"/>
      <c r="F733" s="20"/>
      <c r="I733" s="10"/>
      <c r="J733" s="21"/>
      <c r="K733" s="19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22"/>
      <c r="Y733" s="10"/>
      <c r="Z733" s="10"/>
    </row>
    <row r="734">
      <c r="C734" s="19"/>
      <c r="D734" s="19"/>
      <c r="F734" s="20"/>
      <c r="I734" s="10"/>
      <c r="J734" s="21"/>
      <c r="K734" s="19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22"/>
      <c r="Y734" s="10"/>
      <c r="Z734" s="10"/>
    </row>
    <row r="735">
      <c r="C735" s="19"/>
      <c r="D735" s="19"/>
      <c r="F735" s="20"/>
      <c r="I735" s="10"/>
      <c r="J735" s="21"/>
      <c r="K735" s="19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22"/>
      <c r="Y735" s="10"/>
      <c r="Z735" s="10"/>
    </row>
    <row r="736">
      <c r="C736" s="19"/>
      <c r="D736" s="19"/>
      <c r="F736" s="20"/>
      <c r="I736" s="10"/>
      <c r="J736" s="21"/>
      <c r="K736" s="19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22"/>
      <c r="Y736" s="10"/>
      <c r="Z736" s="10"/>
    </row>
    <row r="737">
      <c r="C737" s="19"/>
      <c r="D737" s="19"/>
      <c r="F737" s="20"/>
      <c r="I737" s="10"/>
      <c r="J737" s="21"/>
      <c r="K737" s="19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22"/>
      <c r="Y737" s="10"/>
      <c r="Z737" s="10"/>
    </row>
    <row r="738">
      <c r="C738" s="19"/>
      <c r="D738" s="19"/>
      <c r="F738" s="20"/>
      <c r="I738" s="10"/>
      <c r="J738" s="21"/>
      <c r="K738" s="19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22"/>
      <c r="Y738" s="10"/>
      <c r="Z738" s="10"/>
    </row>
    <row r="739">
      <c r="C739" s="19"/>
      <c r="D739" s="19"/>
      <c r="F739" s="20"/>
      <c r="I739" s="10"/>
      <c r="J739" s="21"/>
      <c r="K739" s="19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22"/>
      <c r="Y739" s="10"/>
      <c r="Z739" s="10"/>
    </row>
    <row r="740">
      <c r="C740" s="19"/>
      <c r="D740" s="19"/>
      <c r="F740" s="20"/>
      <c r="I740" s="10"/>
      <c r="J740" s="21"/>
      <c r="K740" s="19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22"/>
      <c r="Y740" s="10"/>
      <c r="Z740" s="10"/>
    </row>
    <row r="741">
      <c r="C741" s="19"/>
      <c r="D741" s="19"/>
      <c r="F741" s="20"/>
      <c r="I741" s="10"/>
      <c r="J741" s="21"/>
      <c r="K741" s="19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22"/>
      <c r="Y741" s="10"/>
      <c r="Z741" s="10"/>
    </row>
    <row r="742">
      <c r="C742" s="19"/>
      <c r="D742" s="19"/>
      <c r="F742" s="20"/>
      <c r="I742" s="10"/>
      <c r="J742" s="21"/>
      <c r="K742" s="19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22"/>
      <c r="Y742" s="10"/>
      <c r="Z742" s="10"/>
    </row>
    <row r="743">
      <c r="C743" s="19"/>
      <c r="D743" s="19"/>
      <c r="F743" s="20"/>
      <c r="I743" s="10"/>
      <c r="J743" s="21"/>
      <c r="K743" s="19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22"/>
      <c r="Y743" s="10"/>
      <c r="Z743" s="10"/>
    </row>
    <row r="744">
      <c r="C744" s="19"/>
      <c r="D744" s="19"/>
      <c r="F744" s="20"/>
      <c r="I744" s="10"/>
      <c r="J744" s="21"/>
      <c r="K744" s="19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22"/>
      <c r="Y744" s="10"/>
      <c r="Z744" s="10"/>
    </row>
    <row r="745">
      <c r="C745" s="19"/>
      <c r="D745" s="19"/>
      <c r="F745" s="20"/>
      <c r="I745" s="10"/>
      <c r="J745" s="21"/>
      <c r="K745" s="19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22"/>
      <c r="Y745" s="10"/>
      <c r="Z745" s="10"/>
    </row>
    <row r="746">
      <c r="C746" s="19"/>
      <c r="D746" s="19"/>
      <c r="F746" s="20"/>
      <c r="I746" s="10"/>
      <c r="J746" s="21"/>
      <c r="K746" s="19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22"/>
      <c r="Y746" s="10"/>
      <c r="Z746" s="10"/>
    </row>
    <row r="747">
      <c r="C747" s="19"/>
      <c r="D747" s="19"/>
      <c r="F747" s="20"/>
      <c r="I747" s="10"/>
      <c r="J747" s="21"/>
      <c r="K747" s="19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22"/>
      <c r="Y747" s="10"/>
      <c r="Z747" s="10"/>
    </row>
    <row r="748">
      <c r="C748" s="19"/>
      <c r="D748" s="19"/>
      <c r="F748" s="20"/>
      <c r="I748" s="10"/>
      <c r="J748" s="21"/>
      <c r="K748" s="19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22"/>
      <c r="Y748" s="10"/>
      <c r="Z748" s="10"/>
    </row>
    <row r="749">
      <c r="C749" s="19"/>
      <c r="D749" s="19"/>
      <c r="F749" s="20"/>
      <c r="I749" s="10"/>
      <c r="J749" s="21"/>
      <c r="K749" s="19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22"/>
      <c r="Y749" s="10"/>
      <c r="Z749" s="10"/>
    </row>
    <row r="750">
      <c r="C750" s="19"/>
      <c r="D750" s="19"/>
      <c r="F750" s="20"/>
      <c r="I750" s="10"/>
      <c r="J750" s="21"/>
      <c r="K750" s="19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22"/>
      <c r="Y750" s="10"/>
      <c r="Z750" s="10"/>
    </row>
    <row r="751">
      <c r="C751" s="19"/>
      <c r="D751" s="19"/>
      <c r="F751" s="20"/>
      <c r="I751" s="10"/>
      <c r="J751" s="21"/>
      <c r="K751" s="19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22"/>
      <c r="Y751" s="10"/>
      <c r="Z751" s="10"/>
    </row>
    <row r="752">
      <c r="C752" s="19"/>
      <c r="D752" s="19"/>
      <c r="F752" s="20"/>
      <c r="I752" s="10"/>
      <c r="J752" s="21"/>
      <c r="K752" s="19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22"/>
      <c r="Y752" s="10"/>
      <c r="Z752" s="10"/>
    </row>
    <row r="753">
      <c r="C753" s="19"/>
      <c r="D753" s="19"/>
      <c r="F753" s="20"/>
      <c r="I753" s="10"/>
      <c r="J753" s="21"/>
      <c r="K753" s="19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22"/>
      <c r="Y753" s="10"/>
      <c r="Z753" s="10"/>
    </row>
    <row r="754">
      <c r="C754" s="19"/>
      <c r="D754" s="19"/>
      <c r="F754" s="20"/>
      <c r="I754" s="10"/>
      <c r="J754" s="21"/>
      <c r="K754" s="19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22"/>
      <c r="Y754" s="10"/>
      <c r="Z754" s="10"/>
    </row>
    <row r="755">
      <c r="C755" s="19"/>
      <c r="D755" s="19"/>
      <c r="F755" s="20"/>
      <c r="I755" s="10"/>
      <c r="J755" s="21"/>
      <c r="K755" s="19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22"/>
      <c r="Y755" s="10"/>
      <c r="Z755" s="10"/>
    </row>
    <row r="756">
      <c r="C756" s="19"/>
      <c r="D756" s="19"/>
      <c r="F756" s="20"/>
      <c r="I756" s="10"/>
      <c r="J756" s="21"/>
      <c r="K756" s="19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22"/>
      <c r="Y756" s="10"/>
      <c r="Z756" s="10"/>
    </row>
    <row r="757">
      <c r="C757" s="19"/>
      <c r="D757" s="19"/>
      <c r="F757" s="20"/>
      <c r="I757" s="10"/>
      <c r="J757" s="21"/>
      <c r="K757" s="19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22"/>
      <c r="Y757" s="10"/>
      <c r="Z757" s="10"/>
    </row>
    <row r="758">
      <c r="C758" s="19"/>
      <c r="D758" s="19"/>
      <c r="F758" s="20"/>
      <c r="I758" s="10"/>
      <c r="J758" s="21"/>
      <c r="K758" s="19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22"/>
      <c r="Y758" s="10"/>
      <c r="Z758" s="10"/>
    </row>
    <row r="759">
      <c r="C759" s="19"/>
      <c r="D759" s="19"/>
      <c r="F759" s="20"/>
      <c r="I759" s="10"/>
      <c r="J759" s="21"/>
      <c r="K759" s="19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22"/>
      <c r="Y759" s="10"/>
      <c r="Z759" s="10"/>
    </row>
    <row r="760">
      <c r="C760" s="19"/>
      <c r="D760" s="19"/>
      <c r="F760" s="20"/>
      <c r="I760" s="10"/>
      <c r="J760" s="21"/>
      <c r="K760" s="19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22"/>
      <c r="Y760" s="10"/>
      <c r="Z760" s="10"/>
    </row>
    <row r="761">
      <c r="C761" s="19"/>
      <c r="D761" s="19"/>
      <c r="F761" s="20"/>
      <c r="I761" s="10"/>
      <c r="J761" s="21"/>
      <c r="K761" s="19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22"/>
      <c r="Y761" s="10"/>
      <c r="Z761" s="10"/>
    </row>
    <row r="762">
      <c r="C762" s="19"/>
      <c r="D762" s="19"/>
      <c r="F762" s="20"/>
      <c r="I762" s="10"/>
      <c r="J762" s="21"/>
      <c r="K762" s="19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22"/>
      <c r="Y762" s="10"/>
      <c r="Z762" s="10"/>
    </row>
    <row r="763">
      <c r="C763" s="19"/>
      <c r="D763" s="19"/>
      <c r="F763" s="20"/>
      <c r="I763" s="10"/>
      <c r="J763" s="21"/>
      <c r="K763" s="19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22"/>
      <c r="Y763" s="10"/>
      <c r="Z763" s="10"/>
    </row>
    <row r="764">
      <c r="C764" s="19"/>
      <c r="D764" s="19"/>
      <c r="F764" s="20"/>
      <c r="I764" s="10"/>
      <c r="J764" s="21"/>
      <c r="K764" s="19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22"/>
      <c r="Y764" s="10"/>
      <c r="Z764" s="10"/>
    </row>
    <row r="765">
      <c r="C765" s="19"/>
      <c r="D765" s="19"/>
      <c r="F765" s="20"/>
      <c r="I765" s="10"/>
      <c r="J765" s="21"/>
      <c r="K765" s="19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22"/>
      <c r="Y765" s="10"/>
      <c r="Z765" s="10"/>
    </row>
    <row r="766">
      <c r="C766" s="19"/>
      <c r="D766" s="19"/>
      <c r="F766" s="20"/>
      <c r="I766" s="10"/>
      <c r="J766" s="21"/>
      <c r="K766" s="19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22"/>
      <c r="Y766" s="10"/>
      <c r="Z766" s="10"/>
    </row>
    <row r="767">
      <c r="C767" s="19"/>
      <c r="D767" s="19"/>
      <c r="F767" s="20"/>
      <c r="I767" s="10"/>
      <c r="J767" s="21"/>
      <c r="K767" s="19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22"/>
      <c r="Y767" s="10"/>
      <c r="Z767" s="10"/>
    </row>
    <row r="768">
      <c r="C768" s="19"/>
      <c r="D768" s="19"/>
      <c r="F768" s="20"/>
      <c r="I768" s="10"/>
      <c r="J768" s="21"/>
      <c r="K768" s="19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22"/>
      <c r="Y768" s="10"/>
      <c r="Z768" s="10"/>
    </row>
    <row r="769">
      <c r="C769" s="19"/>
      <c r="D769" s="19"/>
      <c r="F769" s="20"/>
      <c r="I769" s="10"/>
      <c r="J769" s="21"/>
      <c r="K769" s="19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22"/>
      <c r="Y769" s="10"/>
      <c r="Z769" s="10"/>
    </row>
    <row r="770">
      <c r="C770" s="19"/>
      <c r="D770" s="19"/>
      <c r="F770" s="20"/>
      <c r="I770" s="10"/>
      <c r="J770" s="21"/>
      <c r="K770" s="19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22"/>
      <c r="Y770" s="10"/>
      <c r="Z770" s="10"/>
    </row>
    <row r="771">
      <c r="C771" s="19"/>
      <c r="D771" s="19"/>
      <c r="F771" s="20"/>
      <c r="I771" s="10"/>
      <c r="J771" s="21"/>
      <c r="K771" s="19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22"/>
      <c r="Y771" s="10"/>
      <c r="Z771" s="10"/>
    </row>
    <row r="772">
      <c r="C772" s="19"/>
      <c r="D772" s="19"/>
      <c r="F772" s="20"/>
      <c r="I772" s="10"/>
      <c r="J772" s="21"/>
      <c r="K772" s="19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22"/>
      <c r="Y772" s="10"/>
      <c r="Z772" s="10"/>
    </row>
    <row r="773">
      <c r="C773" s="19"/>
      <c r="D773" s="19"/>
      <c r="F773" s="20"/>
      <c r="I773" s="10"/>
      <c r="J773" s="21"/>
      <c r="K773" s="19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22"/>
      <c r="Y773" s="10"/>
      <c r="Z773" s="10"/>
    </row>
    <row r="774">
      <c r="C774" s="19"/>
      <c r="D774" s="19"/>
      <c r="F774" s="20"/>
      <c r="I774" s="10"/>
      <c r="J774" s="21"/>
      <c r="K774" s="19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22"/>
      <c r="Y774" s="10"/>
      <c r="Z774" s="10"/>
    </row>
    <row r="775">
      <c r="C775" s="19"/>
      <c r="D775" s="19"/>
      <c r="F775" s="20"/>
      <c r="I775" s="10"/>
      <c r="J775" s="21"/>
      <c r="K775" s="19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22"/>
      <c r="Y775" s="10"/>
      <c r="Z775" s="10"/>
    </row>
    <row r="776">
      <c r="C776" s="19"/>
      <c r="D776" s="19"/>
      <c r="F776" s="20"/>
      <c r="I776" s="10"/>
      <c r="J776" s="21"/>
      <c r="K776" s="19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22"/>
      <c r="Y776" s="10"/>
      <c r="Z776" s="10"/>
    </row>
    <row r="777">
      <c r="C777" s="19"/>
      <c r="D777" s="19"/>
      <c r="F777" s="20"/>
      <c r="I777" s="10"/>
      <c r="J777" s="21"/>
      <c r="K777" s="19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22"/>
      <c r="Y777" s="10"/>
      <c r="Z777" s="10"/>
    </row>
    <row r="778">
      <c r="C778" s="19"/>
      <c r="D778" s="19"/>
      <c r="F778" s="20"/>
      <c r="I778" s="10"/>
      <c r="J778" s="21"/>
      <c r="K778" s="19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22"/>
      <c r="Y778" s="10"/>
      <c r="Z778" s="10"/>
    </row>
    <row r="779">
      <c r="C779" s="19"/>
      <c r="D779" s="19"/>
      <c r="F779" s="20"/>
      <c r="I779" s="10"/>
      <c r="J779" s="21"/>
      <c r="K779" s="19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22"/>
      <c r="Y779" s="10"/>
      <c r="Z779" s="10"/>
    </row>
    <row r="780">
      <c r="C780" s="19"/>
      <c r="D780" s="19"/>
      <c r="F780" s="20"/>
      <c r="I780" s="10"/>
      <c r="J780" s="21"/>
      <c r="K780" s="19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22"/>
      <c r="Y780" s="10"/>
      <c r="Z780" s="10"/>
    </row>
    <row r="781">
      <c r="C781" s="19"/>
      <c r="D781" s="19"/>
      <c r="F781" s="20"/>
      <c r="I781" s="10"/>
      <c r="J781" s="21"/>
      <c r="K781" s="19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22"/>
      <c r="Y781" s="10"/>
      <c r="Z781" s="10"/>
    </row>
    <row r="782">
      <c r="C782" s="19"/>
      <c r="D782" s="19"/>
      <c r="F782" s="20"/>
      <c r="I782" s="10"/>
      <c r="J782" s="21"/>
      <c r="K782" s="19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22"/>
      <c r="Y782" s="10"/>
      <c r="Z782" s="10"/>
    </row>
    <row r="783">
      <c r="C783" s="19"/>
      <c r="D783" s="19"/>
      <c r="F783" s="20"/>
      <c r="I783" s="10"/>
      <c r="J783" s="21"/>
      <c r="K783" s="19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22"/>
      <c r="Y783" s="10"/>
      <c r="Z783" s="10"/>
    </row>
    <row r="784">
      <c r="C784" s="19"/>
      <c r="D784" s="19"/>
      <c r="F784" s="20"/>
      <c r="I784" s="10"/>
      <c r="J784" s="21"/>
      <c r="K784" s="19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22"/>
      <c r="Y784" s="10"/>
      <c r="Z784" s="10"/>
    </row>
    <row r="785">
      <c r="C785" s="19"/>
      <c r="D785" s="19"/>
      <c r="F785" s="20"/>
      <c r="I785" s="10"/>
      <c r="J785" s="21"/>
      <c r="K785" s="19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22"/>
      <c r="Y785" s="10"/>
      <c r="Z785" s="10"/>
    </row>
    <row r="786">
      <c r="C786" s="19"/>
      <c r="D786" s="19"/>
      <c r="F786" s="20"/>
      <c r="I786" s="10"/>
      <c r="J786" s="21"/>
      <c r="K786" s="19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22"/>
      <c r="Y786" s="10"/>
      <c r="Z786" s="10"/>
    </row>
    <row r="787">
      <c r="C787" s="19"/>
      <c r="D787" s="19"/>
      <c r="F787" s="20"/>
      <c r="I787" s="10"/>
      <c r="J787" s="21"/>
      <c r="K787" s="19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22"/>
      <c r="Y787" s="10"/>
      <c r="Z787" s="10"/>
    </row>
    <row r="788">
      <c r="C788" s="19"/>
      <c r="D788" s="19"/>
      <c r="F788" s="20"/>
      <c r="I788" s="10"/>
      <c r="J788" s="21"/>
      <c r="K788" s="19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22"/>
      <c r="Y788" s="10"/>
      <c r="Z788" s="10"/>
    </row>
    <row r="789">
      <c r="C789" s="19"/>
      <c r="D789" s="19"/>
      <c r="F789" s="20"/>
      <c r="I789" s="10"/>
      <c r="J789" s="21"/>
      <c r="K789" s="19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22"/>
      <c r="Y789" s="10"/>
      <c r="Z789" s="10"/>
    </row>
    <row r="790">
      <c r="C790" s="19"/>
      <c r="D790" s="19"/>
      <c r="F790" s="20"/>
      <c r="I790" s="10"/>
      <c r="J790" s="21"/>
      <c r="K790" s="19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22"/>
      <c r="Y790" s="10"/>
      <c r="Z790" s="10"/>
    </row>
    <row r="791">
      <c r="C791" s="19"/>
      <c r="D791" s="19"/>
      <c r="F791" s="20"/>
      <c r="I791" s="10"/>
      <c r="J791" s="21"/>
      <c r="K791" s="19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22"/>
      <c r="Y791" s="10"/>
      <c r="Z791" s="10"/>
    </row>
    <row r="792">
      <c r="C792" s="19"/>
      <c r="D792" s="19"/>
      <c r="F792" s="20"/>
      <c r="I792" s="10"/>
      <c r="J792" s="21"/>
      <c r="K792" s="19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22"/>
      <c r="Y792" s="10"/>
      <c r="Z792" s="10"/>
    </row>
    <row r="793">
      <c r="C793" s="19"/>
      <c r="D793" s="19"/>
      <c r="F793" s="20"/>
      <c r="I793" s="10"/>
      <c r="J793" s="21"/>
      <c r="K793" s="19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22"/>
      <c r="Y793" s="10"/>
      <c r="Z793" s="10"/>
    </row>
    <row r="794">
      <c r="C794" s="19"/>
      <c r="D794" s="19"/>
      <c r="F794" s="20"/>
      <c r="I794" s="10"/>
      <c r="J794" s="21"/>
      <c r="K794" s="19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22"/>
      <c r="Y794" s="10"/>
      <c r="Z794" s="10"/>
    </row>
    <row r="795">
      <c r="C795" s="19"/>
      <c r="D795" s="19"/>
      <c r="F795" s="20"/>
      <c r="I795" s="10"/>
      <c r="J795" s="21"/>
      <c r="K795" s="19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22"/>
      <c r="Y795" s="10"/>
      <c r="Z795" s="10"/>
    </row>
    <row r="796">
      <c r="C796" s="19"/>
      <c r="D796" s="19"/>
      <c r="F796" s="20"/>
      <c r="I796" s="10"/>
      <c r="J796" s="21"/>
      <c r="K796" s="19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22"/>
      <c r="Y796" s="10"/>
      <c r="Z796" s="10"/>
    </row>
    <row r="797">
      <c r="C797" s="19"/>
      <c r="D797" s="19"/>
      <c r="F797" s="20"/>
      <c r="I797" s="10"/>
      <c r="J797" s="21"/>
      <c r="K797" s="19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22"/>
      <c r="Y797" s="10"/>
      <c r="Z797" s="10"/>
    </row>
    <row r="798">
      <c r="C798" s="19"/>
      <c r="D798" s="19"/>
      <c r="F798" s="20"/>
      <c r="I798" s="10"/>
      <c r="J798" s="21"/>
      <c r="K798" s="19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22"/>
      <c r="Y798" s="10"/>
      <c r="Z798" s="10"/>
    </row>
    <row r="799">
      <c r="C799" s="19"/>
      <c r="D799" s="19"/>
      <c r="F799" s="20"/>
      <c r="I799" s="10"/>
      <c r="J799" s="21"/>
      <c r="K799" s="19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22"/>
      <c r="Y799" s="10"/>
      <c r="Z799" s="10"/>
    </row>
    <row r="800">
      <c r="C800" s="19"/>
      <c r="D800" s="19"/>
      <c r="F800" s="20"/>
      <c r="I800" s="10"/>
      <c r="J800" s="21"/>
      <c r="K800" s="19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22"/>
      <c r="Y800" s="10"/>
      <c r="Z800" s="10"/>
    </row>
    <row r="801">
      <c r="C801" s="19"/>
      <c r="D801" s="19"/>
      <c r="F801" s="20"/>
      <c r="I801" s="10"/>
      <c r="J801" s="21"/>
      <c r="K801" s="19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22"/>
      <c r="Y801" s="10"/>
      <c r="Z801" s="10"/>
    </row>
    <row r="802">
      <c r="C802" s="19"/>
      <c r="D802" s="19"/>
      <c r="F802" s="20"/>
      <c r="I802" s="10"/>
      <c r="J802" s="21"/>
      <c r="K802" s="19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22"/>
      <c r="Y802" s="10"/>
      <c r="Z802" s="10"/>
    </row>
    <row r="803">
      <c r="C803" s="19"/>
      <c r="D803" s="19"/>
      <c r="F803" s="20"/>
      <c r="I803" s="10"/>
      <c r="J803" s="21"/>
      <c r="K803" s="19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22"/>
      <c r="Y803" s="10"/>
      <c r="Z803" s="10"/>
    </row>
    <row r="804">
      <c r="C804" s="19"/>
      <c r="D804" s="19"/>
      <c r="F804" s="20"/>
      <c r="I804" s="10"/>
      <c r="J804" s="21"/>
      <c r="K804" s="19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22"/>
      <c r="Y804" s="10"/>
      <c r="Z804" s="10"/>
    </row>
    <row r="805">
      <c r="C805" s="19"/>
      <c r="D805" s="19"/>
      <c r="F805" s="20"/>
      <c r="I805" s="10"/>
      <c r="J805" s="21"/>
      <c r="K805" s="19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22"/>
      <c r="Y805" s="10"/>
      <c r="Z805" s="10"/>
    </row>
    <row r="806">
      <c r="C806" s="19"/>
      <c r="D806" s="19"/>
      <c r="F806" s="20"/>
      <c r="I806" s="10"/>
      <c r="J806" s="21"/>
      <c r="K806" s="19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22"/>
      <c r="Y806" s="10"/>
      <c r="Z806" s="10"/>
    </row>
    <row r="807">
      <c r="C807" s="19"/>
      <c r="D807" s="19"/>
      <c r="F807" s="20"/>
      <c r="I807" s="10"/>
      <c r="J807" s="21"/>
      <c r="K807" s="19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22"/>
      <c r="Y807" s="10"/>
      <c r="Z807" s="10"/>
    </row>
    <row r="808">
      <c r="C808" s="19"/>
      <c r="D808" s="19"/>
      <c r="F808" s="20"/>
      <c r="I808" s="10"/>
      <c r="J808" s="21"/>
      <c r="K808" s="19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22"/>
      <c r="Y808" s="10"/>
      <c r="Z808" s="10"/>
    </row>
    <row r="809">
      <c r="C809" s="19"/>
      <c r="D809" s="19"/>
      <c r="F809" s="20"/>
      <c r="I809" s="10"/>
      <c r="J809" s="21"/>
      <c r="K809" s="19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22"/>
      <c r="Y809" s="10"/>
      <c r="Z809" s="10"/>
    </row>
    <row r="810">
      <c r="C810" s="19"/>
      <c r="D810" s="19"/>
      <c r="F810" s="20"/>
      <c r="I810" s="10"/>
      <c r="J810" s="21"/>
      <c r="K810" s="19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22"/>
      <c r="Y810" s="10"/>
      <c r="Z810" s="10"/>
    </row>
    <row r="811">
      <c r="C811" s="19"/>
      <c r="D811" s="19"/>
      <c r="F811" s="20"/>
      <c r="I811" s="10"/>
      <c r="J811" s="21"/>
      <c r="K811" s="19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22"/>
      <c r="Y811" s="10"/>
      <c r="Z811" s="10"/>
    </row>
    <row r="812">
      <c r="C812" s="19"/>
      <c r="D812" s="19"/>
      <c r="F812" s="20"/>
      <c r="I812" s="10"/>
      <c r="J812" s="21"/>
      <c r="K812" s="19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22"/>
      <c r="Y812" s="10"/>
      <c r="Z812" s="10"/>
    </row>
    <row r="813">
      <c r="C813" s="19"/>
      <c r="D813" s="19"/>
      <c r="F813" s="20"/>
      <c r="I813" s="10"/>
      <c r="J813" s="21"/>
      <c r="K813" s="19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22"/>
      <c r="Y813" s="10"/>
      <c r="Z813" s="10"/>
    </row>
    <row r="814">
      <c r="C814" s="19"/>
      <c r="D814" s="19"/>
      <c r="F814" s="20"/>
      <c r="I814" s="10"/>
      <c r="J814" s="21"/>
      <c r="K814" s="19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22"/>
      <c r="Y814" s="10"/>
      <c r="Z814" s="10"/>
    </row>
    <row r="815">
      <c r="C815" s="19"/>
      <c r="D815" s="19"/>
      <c r="F815" s="20"/>
      <c r="I815" s="10"/>
      <c r="J815" s="21"/>
      <c r="K815" s="19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22"/>
      <c r="Y815" s="10"/>
      <c r="Z815" s="10"/>
    </row>
    <row r="816">
      <c r="C816" s="19"/>
      <c r="D816" s="19"/>
      <c r="F816" s="20"/>
      <c r="I816" s="10"/>
      <c r="J816" s="21"/>
      <c r="K816" s="19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22"/>
      <c r="Y816" s="10"/>
      <c r="Z816" s="10"/>
    </row>
    <row r="817">
      <c r="C817" s="19"/>
      <c r="D817" s="19"/>
      <c r="F817" s="20"/>
      <c r="I817" s="10"/>
      <c r="J817" s="21"/>
      <c r="K817" s="19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22"/>
      <c r="Y817" s="10"/>
      <c r="Z817" s="10"/>
    </row>
    <row r="818">
      <c r="C818" s="19"/>
      <c r="D818" s="19"/>
      <c r="F818" s="20"/>
      <c r="I818" s="10"/>
      <c r="J818" s="21"/>
      <c r="K818" s="19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22"/>
      <c r="Y818" s="10"/>
      <c r="Z818" s="10"/>
    </row>
    <row r="819">
      <c r="C819" s="19"/>
      <c r="D819" s="19"/>
      <c r="F819" s="20"/>
      <c r="I819" s="10"/>
      <c r="J819" s="21"/>
      <c r="K819" s="19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22"/>
      <c r="Y819" s="10"/>
      <c r="Z819" s="10"/>
    </row>
    <row r="820">
      <c r="C820" s="19"/>
      <c r="D820" s="19"/>
      <c r="F820" s="20"/>
      <c r="I820" s="10"/>
      <c r="J820" s="21"/>
      <c r="K820" s="19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22"/>
      <c r="Y820" s="10"/>
      <c r="Z820" s="10"/>
    </row>
    <row r="821">
      <c r="C821" s="19"/>
      <c r="D821" s="19"/>
      <c r="F821" s="20"/>
      <c r="I821" s="10"/>
      <c r="J821" s="21"/>
      <c r="K821" s="19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22"/>
      <c r="Y821" s="10"/>
      <c r="Z821" s="10"/>
    </row>
    <row r="822">
      <c r="C822" s="19"/>
      <c r="D822" s="19"/>
      <c r="F822" s="20"/>
      <c r="I822" s="10"/>
      <c r="J822" s="21"/>
      <c r="K822" s="19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22"/>
      <c r="Y822" s="10"/>
      <c r="Z822" s="10"/>
    </row>
    <row r="823">
      <c r="C823" s="19"/>
      <c r="D823" s="19"/>
      <c r="F823" s="20"/>
      <c r="I823" s="10"/>
      <c r="J823" s="21"/>
      <c r="K823" s="19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22"/>
      <c r="Y823" s="10"/>
      <c r="Z823" s="10"/>
    </row>
    <row r="824">
      <c r="C824" s="19"/>
      <c r="D824" s="19"/>
      <c r="F824" s="20"/>
      <c r="I824" s="10"/>
      <c r="J824" s="21"/>
      <c r="K824" s="19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22"/>
      <c r="Y824" s="10"/>
      <c r="Z824" s="10"/>
    </row>
    <row r="825">
      <c r="C825" s="19"/>
      <c r="D825" s="19"/>
      <c r="F825" s="20"/>
      <c r="I825" s="10"/>
      <c r="J825" s="21"/>
      <c r="K825" s="19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22"/>
      <c r="Y825" s="10"/>
      <c r="Z825" s="10"/>
    </row>
    <row r="826">
      <c r="C826" s="19"/>
      <c r="D826" s="19"/>
      <c r="F826" s="20"/>
      <c r="I826" s="10"/>
      <c r="J826" s="21"/>
      <c r="K826" s="19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22"/>
      <c r="Y826" s="10"/>
      <c r="Z826" s="10"/>
    </row>
    <row r="827">
      <c r="C827" s="19"/>
      <c r="D827" s="19"/>
      <c r="F827" s="20"/>
      <c r="I827" s="10"/>
      <c r="J827" s="21"/>
      <c r="K827" s="19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22"/>
      <c r="Y827" s="10"/>
      <c r="Z827" s="10"/>
    </row>
    <row r="828">
      <c r="C828" s="19"/>
      <c r="D828" s="19"/>
      <c r="F828" s="20"/>
      <c r="I828" s="10"/>
      <c r="J828" s="21"/>
      <c r="K828" s="19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22"/>
      <c r="Y828" s="10"/>
      <c r="Z828" s="10"/>
    </row>
    <row r="829">
      <c r="C829" s="19"/>
      <c r="D829" s="19"/>
      <c r="F829" s="20"/>
      <c r="I829" s="10"/>
      <c r="J829" s="21"/>
      <c r="K829" s="19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22"/>
      <c r="Y829" s="10"/>
      <c r="Z829" s="10"/>
    </row>
    <row r="830">
      <c r="C830" s="19"/>
      <c r="D830" s="19"/>
      <c r="F830" s="20"/>
      <c r="I830" s="10"/>
      <c r="J830" s="21"/>
      <c r="K830" s="19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22"/>
      <c r="Y830" s="10"/>
      <c r="Z830" s="10"/>
    </row>
    <row r="831">
      <c r="C831" s="19"/>
      <c r="D831" s="19"/>
      <c r="F831" s="20"/>
      <c r="I831" s="10"/>
      <c r="J831" s="21"/>
      <c r="K831" s="19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22"/>
      <c r="Y831" s="10"/>
      <c r="Z831" s="10"/>
    </row>
    <row r="832">
      <c r="C832" s="19"/>
      <c r="D832" s="19"/>
      <c r="F832" s="20"/>
      <c r="I832" s="10"/>
      <c r="J832" s="21"/>
      <c r="K832" s="19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22"/>
      <c r="Y832" s="10"/>
      <c r="Z832" s="10"/>
    </row>
    <row r="833">
      <c r="C833" s="19"/>
      <c r="D833" s="19"/>
      <c r="F833" s="20"/>
      <c r="I833" s="10"/>
      <c r="J833" s="21"/>
      <c r="K833" s="19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22"/>
      <c r="Y833" s="10"/>
      <c r="Z833" s="10"/>
    </row>
    <row r="834">
      <c r="C834" s="19"/>
      <c r="D834" s="19"/>
      <c r="F834" s="20"/>
      <c r="I834" s="10"/>
      <c r="J834" s="21"/>
      <c r="K834" s="19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22"/>
      <c r="Y834" s="10"/>
      <c r="Z834" s="10"/>
    </row>
    <row r="835">
      <c r="C835" s="19"/>
      <c r="D835" s="19"/>
      <c r="F835" s="20"/>
      <c r="I835" s="10"/>
      <c r="J835" s="21"/>
      <c r="K835" s="19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22"/>
      <c r="Y835" s="10"/>
      <c r="Z835" s="10"/>
    </row>
    <row r="836">
      <c r="C836" s="19"/>
      <c r="D836" s="19"/>
      <c r="F836" s="20"/>
      <c r="I836" s="10"/>
      <c r="J836" s="21"/>
      <c r="K836" s="19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22"/>
      <c r="Y836" s="10"/>
      <c r="Z836" s="10"/>
    </row>
    <row r="837">
      <c r="C837" s="19"/>
      <c r="D837" s="19"/>
      <c r="F837" s="20"/>
      <c r="I837" s="10"/>
      <c r="J837" s="21"/>
      <c r="K837" s="19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22"/>
      <c r="Y837" s="10"/>
      <c r="Z837" s="10"/>
    </row>
    <row r="838">
      <c r="C838" s="19"/>
      <c r="D838" s="19"/>
      <c r="F838" s="20"/>
      <c r="I838" s="10"/>
      <c r="J838" s="21"/>
      <c r="K838" s="19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22"/>
      <c r="Y838" s="10"/>
      <c r="Z838" s="10"/>
    </row>
    <row r="839">
      <c r="C839" s="19"/>
      <c r="D839" s="19"/>
      <c r="F839" s="20"/>
      <c r="I839" s="10"/>
      <c r="J839" s="21"/>
      <c r="K839" s="19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22"/>
      <c r="Y839" s="10"/>
      <c r="Z839" s="10"/>
    </row>
    <row r="840">
      <c r="C840" s="19"/>
      <c r="D840" s="19"/>
      <c r="F840" s="20"/>
      <c r="I840" s="10"/>
      <c r="J840" s="21"/>
      <c r="K840" s="19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22"/>
      <c r="Y840" s="10"/>
      <c r="Z840" s="10"/>
    </row>
    <row r="841">
      <c r="C841" s="19"/>
      <c r="D841" s="19"/>
      <c r="F841" s="20"/>
      <c r="I841" s="10"/>
      <c r="J841" s="21"/>
      <c r="K841" s="19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22"/>
      <c r="Y841" s="10"/>
      <c r="Z841" s="10"/>
    </row>
    <row r="842">
      <c r="C842" s="19"/>
      <c r="D842" s="19"/>
      <c r="F842" s="20"/>
      <c r="I842" s="10"/>
      <c r="J842" s="21"/>
      <c r="K842" s="19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22"/>
      <c r="Y842" s="10"/>
      <c r="Z842" s="10"/>
    </row>
    <row r="843">
      <c r="C843" s="19"/>
      <c r="D843" s="19"/>
      <c r="F843" s="20"/>
      <c r="I843" s="10"/>
      <c r="J843" s="21"/>
      <c r="K843" s="19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22"/>
      <c r="Y843" s="10"/>
      <c r="Z843" s="10"/>
    </row>
    <row r="844">
      <c r="C844" s="19"/>
      <c r="D844" s="19"/>
      <c r="F844" s="20"/>
      <c r="I844" s="10"/>
      <c r="J844" s="21"/>
      <c r="K844" s="19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22"/>
      <c r="Y844" s="10"/>
      <c r="Z844" s="10"/>
    </row>
    <row r="845">
      <c r="C845" s="19"/>
      <c r="D845" s="19"/>
      <c r="F845" s="20"/>
      <c r="I845" s="10"/>
      <c r="J845" s="21"/>
      <c r="K845" s="19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22"/>
      <c r="Y845" s="10"/>
      <c r="Z845" s="10"/>
    </row>
    <row r="846">
      <c r="C846" s="19"/>
      <c r="D846" s="19"/>
      <c r="F846" s="20"/>
      <c r="I846" s="10"/>
      <c r="J846" s="21"/>
      <c r="K846" s="19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22"/>
      <c r="Y846" s="10"/>
      <c r="Z846" s="10"/>
    </row>
    <row r="847">
      <c r="C847" s="19"/>
      <c r="D847" s="19"/>
      <c r="F847" s="20"/>
      <c r="I847" s="10"/>
      <c r="J847" s="21"/>
      <c r="K847" s="19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22"/>
      <c r="Y847" s="10"/>
      <c r="Z847" s="10"/>
    </row>
    <row r="848">
      <c r="C848" s="19"/>
      <c r="D848" s="19"/>
      <c r="F848" s="20"/>
      <c r="I848" s="10"/>
      <c r="J848" s="21"/>
      <c r="K848" s="19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22"/>
      <c r="Y848" s="10"/>
      <c r="Z848" s="10"/>
    </row>
    <row r="849">
      <c r="C849" s="19"/>
      <c r="D849" s="19"/>
      <c r="F849" s="20"/>
      <c r="I849" s="10"/>
      <c r="J849" s="21"/>
      <c r="K849" s="19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22"/>
      <c r="Y849" s="10"/>
      <c r="Z849" s="10"/>
    </row>
    <row r="850">
      <c r="C850" s="19"/>
      <c r="D850" s="19"/>
      <c r="F850" s="20"/>
      <c r="I850" s="10"/>
      <c r="J850" s="21"/>
      <c r="K850" s="19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22"/>
      <c r="Y850" s="10"/>
      <c r="Z850" s="10"/>
    </row>
    <row r="851">
      <c r="C851" s="19"/>
      <c r="D851" s="19"/>
      <c r="F851" s="20"/>
      <c r="I851" s="10"/>
      <c r="J851" s="21"/>
      <c r="K851" s="19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22"/>
      <c r="Y851" s="10"/>
      <c r="Z851" s="10"/>
    </row>
    <row r="852">
      <c r="C852" s="19"/>
      <c r="D852" s="19"/>
      <c r="F852" s="20"/>
      <c r="I852" s="10"/>
      <c r="J852" s="21"/>
      <c r="K852" s="19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22"/>
      <c r="Y852" s="10"/>
      <c r="Z852" s="10"/>
    </row>
    <row r="853">
      <c r="C853" s="19"/>
      <c r="D853" s="19"/>
      <c r="F853" s="20"/>
      <c r="I853" s="10"/>
      <c r="J853" s="21"/>
      <c r="K853" s="19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22"/>
      <c r="Y853" s="10"/>
      <c r="Z853" s="10"/>
    </row>
    <row r="854">
      <c r="C854" s="19"/>
      <c r="D854" s="19"/>
      <c r="F854" s="20"/>
      <c r="I854" s="10"/>
      <c r="J854" s="21"/>
      <c r="K854" s="19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22"/>
      <c r="Y854" s="10"/>
      <c r="Z854" s="10"/>
    </row>
    <row r="855">
      <c r="C855" s="19"/>
      <c r="D855" s="19"/>
      <c r="F855" s="20"/>
      <c r="I855" s="10"/>
      <c r="J855" s="21"/>
      <c r="K855" s="19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22"/>
      <c r="Y855" s="10"/>
      <c r="Z855" s="10"/>
    </row>
    <row r="856">
      <c r="C856" s="19"/>
      <c r="D856" s="19"/>
      <c r="F856" s="20"/>
      <c r="I856" s="10"/>
      <c r="J856" s="21"/>
      <c r="K856" s="19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22"/>
      <c r="Y856" s="10"/>
      <c r="Z856" s="10"/>
    </row>
    <row r="857">
      <c r="C857" s="19"/>
      <c r="D857" s="19"/>
      <c r="F857" s="20"/>
      <c r="I857" s="10"/>
      <c r="J857" s="21"/>
      <c r="K857" s="19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22"/>
      <c r="Y857" s="10"/>
      <c r="Z857" s="10"/>
    </row>
    <row r="858">
      <c r="C858" s="19"/>
      <c r="D858" s="19"/>
      <c r="F858" s="20"/>
      <c r="I858" s="10"/>
      <c r="J858" s="21"/>
      <c r="K858" s="19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22"/>
      <c r="Y858" s="10"/>
      <c r="Z858" s="10"/>
    </row>
    <row r="859">
      <c r="C859" s="19"/>
      <c r="D859" s="19"/>
      <c r="F859" s="20"/>
      <c r="I859" s="10"/>
      <c r="J859" s="21"/>
      <c r="K859" s="19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22"/>
      <c r="Y859" s="10"/>
      <c r="Z859" s="10"/>
    </row>
    <row r="860">
      <c r="C860" s="19"/>
      <c r="D860" s="19"/>
      <c r="F860" s="20"/>
      <c r="I860" s="10"/>
      <c r="J860" s="21"/>
      <c r="K860" s="19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22"/>
      <c r="Y860" s="10"/>
      <c r="Z860" s="10"/>
    </row>
    <row r="861">
      <c r="C861" s="19"/>
      <c r="D861" s="19"/>
      <c r="F861" s="20"/>
      <c r="I861" s="10"/>
      <c r="J861" s="21"/>
      <c r="K861" s="19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22"/>
      <c r="Y861" s="10"/>
      <c r="Z861" s="10"/>
    </row>
    <row r="862">
      <c r="C862" s="19"/>
      <c r="D862" s="19"/>
      <c r="F862" s="20"/>
      <c r="I862" s="10"/>
      <c r="J862" s="21"/>
      <c r="K862" s="19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22"/>
      <c r="Y862" s="10"/>
      <c r="Z862" s="10"/>
    </row>
    <row r="863">
      <c r="C863" s="19"/>
      <c r="D863" s="19"/>
      <c r="F863" s="20"/>
      <c r="I863" s="10"/>
      <c r="J863" s="21"/>
      <c r="K863" s="19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22"/>
      <c r="Y863" s="10"/>
      <c r="Z863" s="10"/>
    </row>
    <row r="864">
      <c r="C864" s="19"/>
      <c r="D864" s="19"/>
      <c r="F864" s="20"/>
      <c r="I864" s="10"/>
      <c r="J864" s="21"/>
      <c r="K864" s="19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22"/>
      <c r="Y864" s="10"/>
      <c r="Z864" s="10"/>
    </row>
    <row r="865">
      <c r="C865" s="19"/>
      <c r="D865" s="19"/>
      <c r="F865" s="20"/>
      <c r="I865" s="10"/>
      <c r="J865" s="21"/>
      <c r="K865" s="19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22"/>
      <c r="Y865" s="10"/>
      <c r="Z865" s="10"/>
    </row>
    <row r="866">
      <c r="C866" s="19"/>
      <c r="D866" s="19"/>
      <c r="F866" s="20"/>
      <c r="I866" s="10"/>
      <c r="J866" s="21"/>
      <c r="K866" s="19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22"/>
      <c r="Y866" s="10"/>
      <c r="Z866" s="10"/>
    </row>
    <row r="867">
      <c r="C867" s="19"/>
      <c r="D867" s="19"/>
      <c r="F867" s="20"/>
      <c r="I867" s="10"/>
      <c r="J867" s="21"/>
      <c r="K867" s="19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22"/>
      <c r="Y867" s="10"/>
      <c r="Z867" s="10"/>
    </row>
    <row r="868">
      <c r="C868" s="19"/>
      <c r="D868" s="19"/>
      <c r="F868" s="20"/>
      <c r="I868" s="10"/>
      <c r="J868" s="21"/>
      <c r="K868" s="19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22"/>
      <c r="Y868" s="10"/>
      <c r="Z868" s="10"/>
    </row>
    <row r="869">
      <c r="C869" s="19"/>
      <c r="D869" s="19"/>
      <c r="F869" s="20"/>
      <c r="I869" s="10"/>
      <c r="J869" s="21"/>
      <c r="K869" s="19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22"/>
      <c r="Y869" s="10"/>
      <c r="Z869" s="10"/>
    </row>
    <row r="870">
      <c r="C870" s="19"/>
      <c r="D870" s="19"/>
      <c r="F870" s="20"/>
      <c r="I870" s="10"/>
      <c r="J870" s="21"/>
      <c r="K870" s="19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22"/>
      <c r="Y870" s="10"/>
      <c r="Z870" s="10"/>
    </row>
    <row r="871">
      <c r="C871" s="19"/>
      <c r="D871" s="19"/>
      <c r="F871" s="20"/>
      <c r="I871" s="10"/>
      <c r="J871" s="21"/>
      <c r="K871" s="19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22"/>
      <c r="Y871" s="10"/>
      <c r="Z871" s="10"/>
    </row>
    <row r="872">
      <c r="C872" s="19"/>
      <c r="D872" s="19"/>
      <c r="F872" s="20"/>
      <c r="I872" s="10"/>
      <c r="J872" s="21"/>
      <c r="K872" s="19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22"/>
      <c r="Y872" s="10"/>
      <c r="Z872" s="10"/>
    </row>
    <row r="873">
      <c r="C873" s="19"/>
      <c r="D873" s="19"/>
      <c r="F873" s="20"/>
      <c r="I873" s="10"/>
      <c r="J873" s="21"/>
      <c r="K873" s="19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22"/>
      <c r="Y873" s="10"/>
      <c r="Z873" s="10"/>
    </row>
    <row r="874">
      <c r="C874" s="19"/>
      <c r="D874" s="19"/>
      <c r="F874" s="20"/>
      <c r="I874" s="10"/>
      <c r="J874" s="21"/>
      <c r="K874" s="19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22"/>
      <c r="Y874" s="10"/>
      <c r="Z874" s="10"/>
    </row>
    <row r="875">
      <c r="C875" s="19"/>
      <c r="D875" s="19"/>
      <c r="F875" s="20"/>
      <c r="I875" s="10"/>
      <c r="J875" s="21"/>
      <c r="K875" s="19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22"/>
      <c r="Y875" s="10"/>
      <c r="Z875" s="10"/>
    </row>
    <row r="876">
      <c r="C876" s="19"/>
      <c r="D876" s="19"/>
      <c r="F876" s="20"/>
      <c r="I876" s="10"/>
      <c r="J876" s="21"/>
      <c r="K876" s="19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22"/>
      <c r="Y876" s="10"/>
      <c r="Z876" s="10"/>
    </row>
    <row r="877">
      <c r="C877" s="19"/>
      <c r="D877" s="19"/>
      <c r="F877" s="20"/>
      <c r="I877" s="10"/>
      <c r="J877" s="21"/>
      <c r="K877" s="19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22"/>
      <c r="Y877" s="10"/>
      <c r="Z877" s="10"/>
    </row>
    <row r="878">
      <c r="C878" s="19"/>
      <c r="D878" s="19"/>
      <c r="F878" s="20"/>
      <c r="I878" s="10"/>
      <c r="J878" s="21"/>
      <c r="K878" s="19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22"/>
      <c r="Y878" s="10"/>
      <c r="Z878" s="10"/>
    </row>
    <row r="879">
      <c r="C879" s="19"/>
      <c r="D879" s="19"/>
      <c r="F879" s="20"/>
      <c r="I879" s="10"/>
      <c r="J879" s="21"/>
      <c r="K879" s="19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22"/>
      <c r="Y879" s="10"/>
      <c r="Z879" s="10"/>
    </row>
    <row r="880">
      <c r="C880" s="19"/>
      <c r="D880" s="19"/>
      <c r="F880" s="20"/>
      <c r="I880" s="10"/>
      <c r="J880" s="21"/>
      <c r="K880" s="19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22"/>
      <c r="Y880" s="10"/>
      <c r="Z880" s="10"/>
    </row>
    <row r="881">
      <c r="C881" s="19"/>
      <c r="D881" s="19"/>
      <c r="F881" s="20"/>
      <c r="I881" s="10"/>
      <c r="J881" s="21"/>
      <c r="K881" s="19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22"/>
      <c r="Y881" s="10"/>
      <c r="Z881" s="10"/>
    </row>
    <row r="882">
      <c r="C882" s="19"/>
      <c r="D882" s="19"/>
      <c r="F882" s="20"/>
      <c r="I882" s="10"/>
      <c r="J882" s="21"/>
      <c r="K882" s="19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22"/>
      <c r="Y882" s="10"/>
      <c r="Z882" s="10"/>
    </row>
    <row r="883">
      <c r="C883" s="19"/>
      <c r="D883" s="19"/>
      <c r="F883" s="20"/>
      <c r="I883" s="10"/>
      <c r="J883" s="21"/>
      <c r="K883" s="19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22"/>
      <c r="Y883" s="10"/>
      <c r="Z883" s="10"/>
    </row>
    <row r="884">
      <c r="C884" s="19"/>
      <c r="D884" s="19"/>
      <c r="F884" s="20"/>
      <c r="I884" s="10"/>
      <c r="J884" s="21"/>
      <c r="K884" s="19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22"/>
      <c r="Y884" s="10"/>
      <c r="Z884" s="10"/>
    </row>
    <row r="885">
      <c r="C885" s="19"/>
      <c r="D885" s="19"/>
      <c r="F885" s="20"/>
      <c r="I885" s="10"/>
      <c r="J885" s="21"/>
      <c r="K885" s="19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22"/>
      <c r="Y885" s="10"/>
      <c r="Z885" s="10"/>
    </row>
    <row r="886">
      <c r="C886" s="19"/>
      <c r="D886" s="19"/>
      <c r="F886" s="20"/>
      <c r="I886" s="10"/>
      <c r="J886" s="21"/>
      <c r="K886" s="19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22"/>
      <c r="Y886" s="10"/>
      <c r="Z886" s="10"/>
    </row>
    <row r="887">
      <c r="C887" s="19"/>
      <c r="D887" s="19"/>
      <c r="F887" s="20"/>
      <c r="I887" s="10"/>
      <c r="J887" s="21"/>
      <c r="K887" s="19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22"/>
      <c r="Y887" s="10"/>
      <c r="Z887" s="10"/>
    </row>
    <row r="888">
      <c r="C888" s="19"/>
      <c r="D888" s="19"/>
      <c r="F888" s="20"/>
      <c r="I888" s="10"/>
      <c r="J888" s="21"/>
      <c r="K888" s="19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22"/>
      <c r="Y888" s="10"/>
      <c r="Z888" s="10"/>
    </row>
    <row r="889">
      <c r="C889" s="19"/>
      <c r="D889" s="19"/>
      <c r="F889" s="20"/>
      <c r="I889" s="10"/>
      <c r="J889" s="21"/>
      <c r="K889" s="19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22"/>
      <c r="Y889" s="10"/>
      <c r="Z889" s="10"/>
    </row>
    <row r="890">
      <c r="C890" s="19"/>
      <c r="D890" s="19"/>
      <c r="F890" s="20"/>
      <c r="I890" s="10"/>
      <c r="J890" s="21"/>
      <c r="K890" s="19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22"/>
      <c r="Y890" s="10"/>
      <c r="Z890" s="10"/>
    </row>
    <row r="891">
      <c r="C891" s="19"/>
      <c r="D891" s="19"/>
      <c r="F891" s="20"/>
      <c r="I891" s="10"/>
      <c r="J891" s="21"/>
      <c r="K891" s="19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22"/>
      <c r="Y891" s="10"/>
      <c r="Z891" s="10"/>
    </row>
    <row r="892">
      <c r="C892" s="19"/>
      <c r="D892" s="19"/>
      <c r="F892" s="20"/>
      <c r="I892" s="10"/>
      <c r="J892" s="21"/>
      <c r="K892" s="19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22"/>
      <c r="Y892" s="10"/>
      <c r="Z892" s="10"/>
    </row>
    <row r="893">
      <c r="C893" s="19"/>
      <c r="D893" s="19"/>
      <c r="F893" s="20"/>
      <c r="I893" s="10"/>
      <c r="J893" s="21"/>
      <c r="K893" s="19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22"/>
      <c r="Y893" s="10"/>
      <c r="Z893" s="10"/>
    </row>
    <row r="894">
      <c r="C894" s="19"/>
      <c r="D894" s="19"/>
      <c r="F894" s="20"/>
      <c r="I894" s="10"/>
      <c r="J894" s="21"/>
      <c r="K894" s="19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22"/>
      <c r="Y894" s="10"/>
      <c r="Z894" s="10"/>
    </row>
    <row r="895">
      <c r="C895" s="19"/>
      <c r="D895" s="19"/>
      <c r="F895" s="20"/>
      <c r="I895" s="10"/>
      <c r="J895" s="21"/>
      <c r="K895" s="19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22"/>
      <c r="Y895" s="10"/>
      <c r="Z895" s="10"/>
    </row>
    <row r="896">
      <c r="C896" s="19"/>
      <c r="D896" s="19"/>
      <c r="F896" s="20"/>
      <c r="I896" s="10"/>
      <c r="J896" s="21"/>
      <c r="K896" s="19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22"/>
      <c r="Y896" s="10"/>
      <c r="Z896" s="10"/>
    </row>
    <row r="897">
      <c r="C897" s="19"/>
      <c r="D897" s="19"/>
      <c r="F897" s="20"/>
      <c r="I897" s="10"/>
      <c r="J897" s="21"/>
      <c r="K897" s="19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22"/>
      <c r="Y897" s="10"/>
      <c r="Z897" s="10"/>
    </row>
    <row r="898">
      <c r="C898" s="19"/>
      <c r="D898" s="19"/>
      <c r="F898" s="20"/>
      <c r="I898" s="10"/>
      <c r="J898" s="21"/>
      <c r="K898" s="19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22"/>
      <c r="Y898" s="10"/>
      <c r="Z898" s="10"/>
    </row>
    <row r="899">
      <c r="C899" s="19"/>
      <c r="D899" s="19"/>
      <c r="F899" s="20"/>
      <c r="I899" s="10"/>
      <c r="J899" s="21"/>
      <c r="K899" s="19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22"/>
      <c r="Y899" s="10"/>
      <c r="Z899" s="10"/>
    </row>
    <row r="900">
      <c r="C900" s="19"/>
      <c r="D900" s="19"/>
      <c r="F900" s="20"/>
      <c r="I900" s="10"/>
      <c r="J900" s="21"/>
      <c r="K900" s="19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22"/>
      <c r="Y900" s="10"/>
      <c r="Z900" s="10"/>
    </row>
    <row r="901">
      <c r="C901" s="19"/>
      <c r="D901" s="19"/>
      <c r="F901" s="20"/>
      <c r="I901" s="10"/>
      <c r="J901" s="21"/>
      <c r="K901" s="19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22"/>
      <c r="Y901" s="10"/>
      <c r="Z901" s="10"/>
    </row>
    <row r="902">
      <c r="C902" s="19"/>
      <c r="D902" s="19"/>
      <c r="F902" s="20"/>
      <c r="I902" s="10"/>
      <c r="J902" s="21"/>
      <c r="K902" s="19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22"/>
      <c r="Y902" s="10"/>
      <c r="Z902" s="10"/>
    </row>
    <row r="903">
      <c r="C903" s="19"/>
      <c r="D903" s="19"/>
      <c r="F903" s="20"/>
      <c r="I903" s="10"/>
      <c r="J903" s="21"/>
      <c r="K903" s="19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22"/>
      <c r="Y903" s="10"/>
      <c r="Z903" s="10"/>
    </row>
    <row r="904">
      <c r="C904" s="19"/>
      <c r="D904" s="19"/>
      <c r="F904" s="20"/>
      <c r="I904" s="10"/>
      <c r="J904" s="21"/>
      <c r="K904" s="19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22"/>
      <c r="Y904" s="10"/>
      <c r="Z904" s="10"/>
    </row>
    <row r="905">
      <c r="C905" s="19"/>
      <c r="D905" s="19"/>
      <c r="F905" s="20"/>
      <c r="I905" s="10"/>
      <c r="J905" s="21"/>
      <c r="K905" s="19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22"/>
      <c r="Y905" s="10"/>
      <c r="Z905" s="10"/>
    </row>
    <row r="906">
      <c r="C906" s="19"/>
      <c r="D906" s="19"/>
      <c r="F906" s="20"/>
      <c r="I906" s="10"/>
      <c r="J906" s="21"/>
      <c r="K906" s="19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22"/>
      <c r="Y906" s="10"/>
      <c r="Z906" s="10"/>
    </row>
    <row r="907">
      <c r="C907" s="19"/>
      <c r="D907" s="19"/>
      <c r="F907" s="20"/>
      <c r="I907" s="10"/>
      <c r="J907" s="21"/>
      <c r="K907" s="19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22"/>
      <c r="Y907" s="10"/>
      <c r="Z907" s="10"/>
    </row>
    <row r="908">
      <c r="C908" s="19"/>
      <c r="D908" s="19"/>
      <c r="F908" s="20"/>
      <c r="I908" s="10"/>
      <c r="J908" s="21"/>
      <c r="K908" s="19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22"/>
      <c r="Y908" s="10"/>
      <c r="Z908" s="10"/>
    </row>
    <row r="909">
      <c r="C909" s="19"/>
      <c r="D909" s="19"/>
      <c r="F909" s="20"/>
      <c r="I909" s="10"/>
      <c r="J909" s="21"/>
      <c r="K909" s="19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22"/>
      <c r="Y909" s="10"/>
      <c r="Z909" s="10"/>
    </row>
    <row r="910">
      <c r="C910" s="19"/>
      <c r="D910" s="19"/>
      <c r="F910" s="20"/>
      <c r="I910" s="10"/>
      <c r="J910" s="21"/>
      <c r="K910" s="19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22"/>
      <c r="Y910" s="10"/>
      <c r="Z910" s="10"/>
    </row>
    <row r="911">
      <c r="C911" s="19"/>
      <c r="D911" s="19"/>
      <c r="F911" s="20"/>
      <c r="I911" s="10"/>
      <c r="J911" s="21"/>
      <c r="K911" s="19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22"/>
      <c r="Y911" s="10"/>
      <c r="Z911" s="10"/>
    </row>
    <row r="912">
      <c r="C912" s="19"/>
      <c r="D912" s="19"/>
      <c r="F912" s="20"/>
      <c r="I912" s="10"/>
      <c r="J912" s="21"/>
      <c r="K912" s="19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22"/>
      <c r="Y912" s="10"/>
      <c r="Z912" s="10"/>
    </row>
    <row r="913">
      <c r="C913" s="19"/>
      <c r="D913" s="19"/>
      <c r="F913" s="20"/>
      <c r="I913" s="10"/>
      <c r="J913" s="21"/>
      <c r="K913" s="19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22"/>
      <c r="Y913" s="10"/>
      <c r="Z913" s="10"/>
    </row>
    <row r="914">
      <c r="C914" s="19"/>
      <c r="D914" s="19"/>
      <c r="F914" s="20"/>
      <c r="I914" s="10"/>
      <c r="J914" s="21"/>
      <c r="K914" s="19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22"/>
      <c r="Y914" s="10"/>
      <c r="Z914" s="10"/>
    </row>
    <row r="915">
      <c r="C915" s="19"/>
      <c r="D915" s="19"/>
      <c r="F915" s="20"/>
      <c r="I915" s="10"/>
      <c r="J915" s="21"/>
      <c r="K915" s="19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22"/>
      <c r="Y915" s="10"/>
      <c r="Z915" s="10"/>
    </row>
    <row r="916">
      <c r="C916" s="19"/>
      <c r="D916" s="19"/>
      <c r="F916" s="20"/>
      <c r="I916" s="10"/>
      <c r="J916" s="21"/>
      <c r="K916" s="19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22"/>
      <c r="Y916" s="10"/>
      <c r="Z916" s="10"/>
    </row>
    <row r="917">
      <c r="C917" s="19"/>
      <c r="D917" s="19"/>
      <c r="F917" s="20"/>
      <c r="I917" s="10"/>
      <c r="J917" s="21"/>
      <c r="K917" s="19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22"/>
      <c r="Y917" s="10"/>
      <c r="Z917" s="10"/>
    </row>
    <row r="918">
      <c r="C918" s="19"/>
      <c r="D918" s="19"/>
      <c r="F918" s="20"/>
      <c r="I918" s="10"/>
      <c r="J918" s="21"/>
      <c r="K918" s="19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22"/>
      <c r="Y918" s="10"/>
      <c r="Z918" s="10"/>
    </row>
    <row r="919">
      <c r="C919" s="19"/>
      <c r="D919" s="19"/>
      <c r="F919" s="20"/>
      <c r="I919" s="10"/>
      <c r="J919" s="21"/>
      <c r="K919" s="19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22"/>
      <c r="Y919" s="10"/>
      <c r="Z919" s="10"/>
    </row>
    <row r="920">
      <c r="C920" s="19"/>
      <c r="D920" s="19"/>
      <c r="F920" s="20"/>
      <c r="I920" s="10"/>
      <c r="J920" s="21"/>
      <c r="K920" s="19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22"/>
      <c r="Y920" s="10"/>
      <c r="Z920" s="10"/>
    </row>
    <row r="921">
      <c r="C921" s="19"/>
      <c r="D921" s="19"/>
      <c r="F921" s="20"/>
      <c r="I921" s="10"/>
      <c r="J921" s="21"/>
      <c r="K921" s="19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22"/>
      <c r="Y921" s="10"/>
      <c r="Z921" s="10"/>
    </row>
    <row r="922">
      <c r="C922" s="19"/>
      <c r="D922" s="19"/>
      <c r="F922" s="20"/>
      <c r="I922" s="10"/>
      <c r="J922" s="21"/>
      <c r="K922" s="19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22"/>
      <c r="Y922" s="10"/>
      <c r="Z922" s="10"/>
    </row>
    <row r="923">
      <c r="C923" s="19"/>
      <c r="D923" s="19"/>
      <c r="F923" s="20"/>
      <c r="I923" s="10"/>
      <c r="J923" s="21"/>
      <c r="K923" s="19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22"/>
      <c r="Y923" s="10"/>
      <c r="Z923" s="10"/>
    </row>
    <row r="924">
      <c r="C924" s="19"/>
      <c r="D924" s="19"/>
      <c r="F924" s="20"/>
      <c r="I924" s="10"/>
      <c r="J924" s="21"/>
      <c r="K924" s="19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22"/>
      <c r="Y924" s="10"/>
      <c r="Z924" s="10"/>
    </row>
    <row r="925">
      <c r="C925" s="19"/>
      <c r="D925" s="19"/>
      <c r="F925" s="20"/>
      <c r="I925" s="10"/>
      <c r="J925" s="21"/>
      <c r="K925" s="19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22"/>
      <c r="Y925" s="10"/>
      <c r="Z925" s="10"/>
    </row>
    <row r="926">
      <c r="C926" s="19"/>
      <c r="D926" s="19"/>
      <c r="F926" s="20"/>
      <c r="I926" s="10"/>
      <c r="J926" s="21"/>
      <c r="K926" s="19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22"/>
      <c r="Y926" s="10"/>
      <c r="Z926" s="10"/>
    </row>
    <row r="927">
      <c r="C927" s="19"/>
      <c r="D927" s="19"/>
      <c r="F927" s="20"/>
      <c r="I927" s="10"/>
      <c r="J927" s="21"/>
      <c r="K927" s="19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22"/>
      <c r="Y927" s="10"/>
      <c r="Z927" s="10"/>
    </row>
    <row r="928">
      <c r="C928" s="19"/>
      <c r="D928" s="19"/>
      <c r="F928" s="20"/>
      <c r="I928" s="10"/>
      <c r="J928" s="21"/>
      <c r="K928" s="19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22"/>
      <c r="Y928" s="10"/>
      <c r="Z928" s="10"/>
    </row>
    <row r="929">
      <c r="C929" s="19"/>
      <c r="D929" s="19"/>
      <c r="F929" s="20"/>
      <c r="I929" s="10"/>
      <c r="J929" s="21"/>
      <c r="K929" s="19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22"/>
      <c r="Y929" s="10"/>
      <c r="Z929" s="10"/>
    </row>
    <row r="930">
      <c r="C930" s="19"/>
      <c r="D930" s="19"/>
      <c r="F930" s="20"/>
      <c r="I930" s="10"/>
      <c r="J930" s="21"/>
      <c r="K930" s="19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22"/>
      <c r="Y930" s="10"/>
      <c r="Z930" s="10"/>
    </row>
    <row r="931">
      <c r="C931" s="19"/>
      <c r="D931" s="19"/>
      <c r="F931" s="20"/>
      <c r="I931" s="10"/>
      <c r="J931" s="21"/>
      <c r="K931" s="19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22"/>
      <c r="Y931" s="10"/>
      <c r="Z931" s="10"/>
    </row>
    <row r="932">
      <c r="C932" s="19"/>
      <c r="D932" s="19"/>
      <c r="F932" s="20"/>
      <c r="I932" s="10"/>
      <c r="J932" s="21"/>
      <c r="K932" s="19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X932" s="22"/>
      <c r="Y932" s="10"/>
      <c r="Z932" s="10"/>
    </row>
    <row r="933">
      <c r="C933" s="19"/>
      <c r="D933" s="19"/>
      <c r="F933" s="20"/>
      <c r="I933" s="10"/>
      <c r="J933" s="21"/>
      <c r="K933" s="19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X933" s="22"/>
      <c r="Y933" s="10"/>
      <c r="Z933" s="10"/>
    </row>
    <row r="934">
      <c r="C934" s="19"/>
      <c r="D934" s="19"/>
      <c r="F934" s="20"/>
      <c r="I934" s="10"/>
      <c r="J934" s="21"/>
      <c r="K934" s="19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X934" s="22"/>
      <c r="Y934" s="10"/>
      <c r="Z934" s="10"/>
    </row>
    <row r="935">
      <c r="C935" s="19"/>
      <c r="D935" s="19"/>
      <c r="F935" s="20"/>
      <c r="I935" s="10"/>
      <c r="J935" s="21"/>
      <c r="K935" s="19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X935" s="22"/>
      <c r="Y935" s="10"/>
      <c r="Z935" s="10"/>
    </row>
    <row r="936">
      <c r="C936" s="19"/>
      <c r="D936" s="19"/>
      <c r="F936" s="20"/>
      <c r="I936" s="10"/>
      <c r="J936" s="21"/>
      <c r="K936" s="19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X936" s="22"/>
      <c r="Y936" s="10"/>
      <c r="Z936" s="10"/>
    </row>
    <row r="937">
      <c r="C937" s="19"/>
      <c r="D937" s="19"/>
      <c r="F937" s="20"/>
      <c r="I937" s="10"/>
      <c r="J937" s="21"/>
      <c r="K937" s="19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X937" s="22"/>
      <c r="Y937" s="10"/>
      <c r="Z937" s="10"/>
    </row>
    <row r="938">
      <c r="C938" s="19"/>
      <c r="D938" s="19"/>
      <c r="F938" s="20"/>
      <c r="I938" s="10"/>
      <c r="J938" s="21"/>
      <c r="K938" s="19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X938" s="22"/>
      <c r="Y938" s="10"/>
      <c r="Z938" s="10"/>
    </row>
    <row r="939">
      <c r="C939" s="19"/>
      <c r="D939" s="19"/>
      <c r="F939" s="20"/>
      <c r="I939" s="10"/>
      <c r="J939" s="21"/>
      <c r="K939" s="19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X939" s="22"/>
      <c r="Y939" s="10"/>
      <c r="Z939" s="10"/>
    </row>
    <row r="940">
      <c r="C940" s="19"/>
      <c r="D940" s="19"/>
      <c r="F940" s="20"/>
      <c r="I940" s="10"/>
      <c r="J940" s="21"/>
      <c r="K940" s="19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X940" s="22"/>
      <c r="Y940" s="10"/>
      <c r="Z940" s="10"/>
    </row>
    <row r="941">
      <c r="C941" s="19"/>
      <c r="D941" s="19"/>
      <c r="F941" s="20"/>
      <c r="I941" s="10"/>
      <c r="J941" s="21"/>
      <c r="K941" s="19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X941" s="22"/>
      <c r="Y941" s="10"/>
      <c r="Z941" s="10"/>
    </row>
    <row r="942">
      <c r="C942" s="19"/>
      <c r="D942" s="19"/>
      <c r="F942" s="20"/>
      <c r="I942" s="10"/>
      <c r="J942" s="21"/>
      <c r="K942" s="19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X942" s="22"/>
      <c r="Y942" s="10"/>
      <c r="Z942" s="10"/>
    </row>
    <row r="943">
      <c r="C943" s="19"/>
      <c r="D943" s="19"/>
      <c r="F943" s="20"/>
      <c r="I943" s="10"/>
      <c r="J943" s="21"/>
      <c r="K943" s="19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X943" s="22"/>
      <c r="Y943" s="10"/>
      <c r="Z943" s="10"/>
    </row>
    <row r="944">
      <c r="C944" s="19"/>
      <c r="D944" s="19"/>
      <c r="F944" s="20"/>
      <c r="I944" s="10"/>
      <c r="J944" s="21"/>
      <c r="K944" s="19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X944" s="22"/>
      <c r="Y944" s="10"/>
      <c r="Z944" s="10"/>
    </row>
    <row r="945">
      <c r="C945" s="19"/>
      <c r="D945" s="19"/>
      <c r="F945" s="20"/>
      <c r="I945" s="10"/>
      <c r="J945" s="21"/>
      <c r="K945" s="19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X945" s="22"/>
      <c r="Y945" s="10"/>
      <c r="Z945" s="10"/>
    </row>
    <row r="946">
      <c r="C946" s="19"/>
      <c r="D946" s="19"/>
      <c r="F946" s="20"/>
      <c r="I946" s="10"/>
      <c r="J946" s="21"/>
      <c r="K946" s="19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X946" s="22"/>
      <c r="Y946" s="10"/>
      <c r="Z946" s="10"/>
    </row>
    <row r="947">
      <c r="C947" s="19"/>
      <c r="D947" s="19"/>
      <c r="F947" s="20"/>
      <c r="I947" s="10"/>
      <c r="J947" s="21"/>
      <c r="K947" s="19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X947" s="22"/>
      <c r="Y947" s="10"/>
      <c r="Z947" s="10"/>
    </row>
    <row r="948">
      <c r="C948" s="19"/>
      <c r="D948" s="19"/>
      <c r="F948" s="20"/>
      <c r="I948" s="10"/>
      <c r="J948" s="21"/>
      <c r="K948" s="19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X948" s="22"/>
      <c r="Y948" s="10"/>
      <c r="Z948" s="10"/>
    </row>
    <row r="949">
      <c r="C949" s="19"/>
      <c r="D949" s="19"/>
      <c r="F949" s="20"/>
      <c r="I949" s="10"/>
      <c r="J949" s="21"/>
      <c r="K949" s="19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X949" s="22"/>
      <c r="Y949" s="10"/>
      <c r="Z949" s="10"/>
    </row>
    <row r="950">
      <c r="C950" s="19"/>
      <c r="D950" s="19"/>
      <c r="F950" s="20"/>
      <c r="I950" s="10"/>
      <c r="J950" s="21"/>
      <c r="K950" s="19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X950" s="22"/>
      <c r="Y950" s="10"/>
      <c r="Z950" s="10"/>
    </row>
    <row r="951">
      <c r="C951" s="19"/>
      <c r="D951" s="19"/>
      <c r="F951" s="20"/>
      <c r="I951" s="10"/>
      <c r="J951" s="21"/>
      <c r="K951" s="19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X951" s="22"/>
      <c r="Y951" s="10"/>
      <c r="Z951" s="10"/>
    </row>
    <row r="952">
      <c r="C952" s="19"/>
      <c r="D952" s="19"/>
      <c r="F952" s="20"/>
      <c r="I952" s="10"/>
      <c r="J952" s="21"/>
      <c r="K952" s="19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X952" s="22"/>
      <c r="Y952" s="10"/>
      <c r="Z952" s="10"/>
    </row>
    <row r="953">
      <c r="C953" s="19"/>
      <c r="D953" s="19"/>
      <c r="F953" s="20"/>
      <c r="I953" s="10"/>
      <c r="J953" s="21"/>
      <c r="K953" s="19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X953" s="22"/>
      <c r="Y953" s="10"/>
      <c r="Z953" s="10"/>
    </row>
    <row r="954">
      <c r="C954" s="19"/>
      <c r="D954" s="19"/>
      <c r="F954" s="20"/>
      <c r="I954" s="10"/>
      <c r="J954" s="21"/>
      <c r="K954" s="19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X954" s="22"/>
      <c r="Y954" s="10"/>
      <c r="Z954" s="10"/>
    </row>
    <row r="955">
      <c r="C955" s="19"/>
      <c r="D955" s="19"/>
      <c r="F955" s="20"/>
      <c r="I955" s="10"/>
      <c r="J955" s="21"/>
      <c r="K955" s="19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X955" s="22"/>
      <c r="Y955" s="10"/>
      <c r="Z955" s="10"/>
    </row>
    <row r="956">
      <c r="C956" s="19"/>
      <c r="D956" s="19"/>
      <c r="F956" s="20"/>
      <c r="I956" s="10"/>
      <c r="J956" s="21"/>
      <c r="K956" s="19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X956" s="22"/>
      <c r="Y956" s="10"/>
      <c r="Z956" s="10"/>
    </row>
    <row r="957">
      <c r="C957" s="19"/>
      <c r="D957" s="19"/>
      <c r="F957" s="20"/>
      <c r="I957" s="10"/>
      <c r="J957" s="21"/>
      <c r="K957" s="19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X957" s="22"/>
      <c r="Y957" s="10"/>
      <c r="Z957" s="10"/>
    </row>
    <row r="958">
      <c r="C958" s="19"/>
      <c r="D958" s="19"/>
      <c r="F958" s="20"/>
      <c r="I958" s="10"/>
      <c r="J958" s="21"/>
      <c r="K958" s="19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X958" s="22"/>
      <c r="Y958" s="10"/>
      <c r="Z958" s="10"/>
    </row>
    <row r="959">
      <c r="C959" s="19"/>
      <c r="D959" s="19"/>
      <c r="F959" s="20"/>
      <c r="I959" s="10"/>
      <c r="J959" s="21"/>
      <c r="K959" s="19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X959" s="22"/>
      <c r="Y959" s="10"/>
      <c r="Z959" s="10"/>
    </row>
    <row r="960">
      <c r="C960" s="19"/>
      <c r="D960" s="19"/>
      <c r="F960" s="20"/>
      <c r="I960" s="10"/>
      <c r="J960" s="21"/>
      <c r="K960" s="19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X960" s="22"/>
      <c r="Y960" s="10"/>
      <c r="Z960" s="10"/>
    </row>
    <row r="961">
      <c r="C961" s="19"/>
      <c r="D961" s="19"/>
      <c r="F961" s="20"/>
      <c r="I961" s="10"/>
      <c r="J961" s="21"/>
      <c r="K961" s="19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X961" s="22"/>
      <c r="Y961" s="10"/>
      <c r="Z961" s="10"/>
    </row>
    <row r="962">
      <c r="C962" s="19"/>
      <c r="D962" s="19"/>
      <c r="F962" s="20"/>
      <c r="I962" s="10"/>
      <c r="J962" s="21"/>
      <c r="K962" s="19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X962" s="22"/>
      <c r="Y962" s="10"/>
      <c r="Z962" s="10"/>
    </row>
    <row r="963">
      <c r="C963" s="19"/>
      <c r="D963" s="19"/>
      <c r="F963" s="20"/>
      <c r="I963" s="10"/>
      <c r="J963" s="21"/>
      <c r="K963" s="19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X963" s="22"/>
      <c r="Y963" s="10"/>
      <c r="Z963" s="10"/>
    </row>
    <row r="964">
      <c r="C964" s="19"/>
      <c r="D964" s="19"/>
      <c r="F964" s="20"/>
      <c r="I964" s="10"/>
      <c r="J964" s="21"/>
      <c r="K964" s="19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X964" s="22"/>
      <c r="Y964" s="10"/>
      <c r="Z964" s="10"/>
    </row>
    <row r="965">
      <c r="C965" s="19"/>
      <c r="D965" s="19"/>
      <c r="F965" s="20"/>
      <c r="I965" s="10"/>
      <c r="J965" s="21"/>
      <c r="K965" s="19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X965" s="22"/>
      <c r="Y965" s="10"/>
      <c r="Z965" s="10"/>
    </row>
    <row r="966">
      <c r="C966" s="19"/>
      <c r="D966" s="19"/>
      <c r="F966" s="20"/>
      <c r="I966" s="10"/>
      <c r="J966" s="21"/>
      <c r="K966" s="19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X966" s="22"/>
      <c r="Y966" s="10"/>
      <c r="Z966" s="10"/>
    </row>
    <row r="967">
      <c r="C967" s="19"/>
      <c r="D967" s="19"/>
      <c r="F967" s="20"/>
      <c r="I967" s="10"/>
      <c r="J967" s="21"/>
      <c r="K967" s="19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X967" s="22"/>
      <c r="Y967" s="10"/>
      <c r="Z967" s="10"/>
    </row>
    <row r="968">
      <c r="C968" s="19"/>
      <c r="D968" s="19"/>
      <c r="F968" s="20"/>
      <c r="I968" s="10"/>
      <c r="J968" s="21"/>
      <c r="K968" s="19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X968" s="22"/>
      <c r="Y968" s="10"/>
      <c r="Z968" s="10"/>
    </row>
    <row r="969">
      <c r="C969" s="19"/>
      <c r="D969" s="19"/>
      <c r="F969" s="20"/>
      <c r="I969" s="10"/>
      <c r="J969" s="21"/>
      <c r="K969" s="19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X969" s="22"/>
      <c r="Y969" s="10"/>
      <c r="Z969" s="10"/>
    </row>
    <row r="970">
      <c r="C970" s="19"/>
      <c r="D970" s="19"/>
      <c r="F970" s="20"/>
      <c r="I970" s="10"/>
      <c r="J970" s="21"/>
      <c r="K970" s="19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X970" s="22"/>
      <c r="Y970" s="10"/>
      <c r="Z970" s="10"/>
    </row>
    <row r="971">
      <c r="C971" s="19"/>
      <c r="D971" s="19"/>
      <c r="F971" s="20"/>
      <c r="I971" s="10"/>
      <c r="J971" s="21"/>
      <c r="K971" s="19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X971" s="22"/>
      <c r="Y971" s="10"/>
      <c r="Z971" s="10"/>
    </row>
    <row r="972">
      <c r="C972" s="19"/>
      <c r="D972" s="19"/>
      <c r="F972" s="20"/>
      <c r="I972" s="10"/>
      <c r="J972" s="21"/>
      <c r="K972" s="19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X972" s="22"/>
      <c r="Y972" s="10"/>
      <c r="Z972" s="10"/>
    </row>
    <row r="973">
      <c r="C973" s="19"/>
      <c r="D973" s="19"/>
      <c r="F973" s="20"/>
      <c r="I973" s="10"/>
      <c r="J973" s="21"/>
      <c r="K973" s="19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X973" s="22"/>
      <c r="Y973" s="10"/>
      <c r="Z973" s="10"/>
    </row>
    <row r="974">
      <c r="C974" s="19"/>
      <c r="D974" s="19"/>
      <c r="F974" s="20"/>
      <c r="I974" s="10"/>
      <c r="J974" s="21"/>
      <c r="K974" s="19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X974" s="22"/>
      <c r="Y974" s="10"/>
      <c r="Z974" s="10"/>
    </row>
    <row r="975">
      <c r="C975" s="19"/>
      <c r="D975" s="19"/>
      <c r="F975" s="20"/>
      <c r="I975" s="10"/>
      <c r="J975" s="21"/>
      <c r="K975" s="19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X975" s="22"/>
      <c r="Y975" s="10"/>
      <c r="Z975" s="10"/>
    </row>
    <row r="976">
      <c r="C976" s="19"/>
      <c r="D976" s="19"/>
      <c r="F976" s="20"/>
      <c r="I976" s="10"/>
      <c r="J976" s="21"/>
      <c r="K976" s="19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X976" s="22"/>
      <c r="Y976" s="10"/>
      <c r="Z976" s="10"/>
    </row>
    <row r="977">
      <c r="C977" s="19"/>
      <c r="D977" s="19"/>
      <c r="F977" s="20"/>
      <c r="I977" s="10"/>
      <c r="J977" s="21"/>
      <c r="K977" s="19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X977" s="22"/>
      <c r="Y977" s="10"/>
      <c r="Z977" s="10"/>
    </row>
    <row r="978">
      <c r="C978" s="19"/>
      <c r="D978" s="19"/>
      <c r="F978" s="20"/>
      <c r="I978" s="10"/>
      <c r="J978" s="21"/>
      <c r="K978" s="19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X978" s="22"/>
      <c r="Y978" s="10"/>
      <c r="Z978" s="10"/>
    </row>
    <row r="979">
      <c r="C979" s="19"/>
      <c r="D979" s="19"/>
      <c r="F979" s="20"/>
      <c r="I979" s="10"/>
      <c r="J979" s="21"/>
      <c r="K979" s="19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X979" s="22"/>
      <c r="Y979" s="10"/>
      <c r="Z979" s="10"/>
    </row>
    <row r="980">
      <c r="C980" s="19"/>
      <c r="D980" s="19"/>
      <c r="F980" s="20"/>
      <c r="I980" s="10"/>
      <c r="J980" s="21"/>
      <c r="K980" s="19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X980" s="22"/>
      <c r="Y980" s="10"/>
      <c r="Z980" s="10"/>
    </row>
    <row r="981">
      <c r="C981" s="19"/>
      <c r="D981" s="19"/>
      <c r="F981" s="20"/>
      <c r="I981" s="10"/>
      <c r="J981" s="21"/>
      <c r="K981" s="19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X981" s="22"/>
      <c r="Y981" s="10"/>
      <c r="Z981" s="10"/>
    </row>
    <row r="982">
      <c r="C982" s="19"/>
      <c r="D982" s="19"/>
      <c r="F982" s="20"/>
      <c r="I982" s="10"/>
      <c r="J982" s="21"/>
      <c r="K982" s="19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X982" s="22"/>
      <c r="Y982" s="10"/>
      <c r="Z982" s="10"/>
    </row>
    <row r="983">
      <c r="C983" s="19"/>
      <c r="D983" s="19"/>
      <c r="F983" s="20"/>
      <c r="I983" s="10"/>
      <c r="J983" s="21"/>
      <c r="K983" s="19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X983" s="22"/>
      <c r="Y983" s="10"/>
      <c r="Z983" s="10"/>
    </row>
    <row r="984">
      <c r="C984" s="19"/>
      <c r="D984" s="19"/>
      <c r="F984" s="20"/>
      <c r="I984" s="10"/>
      <c r="J984" s="21"/>
      <c r="K984" s="19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X984" s="22"/>
      <c r="Y984" s="10"/>
      <c r="Z984" s="10"/>
    </row>
    <row r="985">
      <c r="C985" s="19"/>
      <c r="D985" s="19"/>
      <c r="F985" s="20"/>
      <c r="I985" s="10"/>
      <c r="J985" s="21"/>
      <c r="K985" s="19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X985" s="22"/>
      <c r="Y985" s="10"/>
      <c r="Z985" s="10"/>
    </row>
    <row r="986">
      <c r="C986" s="19"/>
      <c r="D986" s="19"/>
      <c r="F986" s="20"/>
      <c r="I986" s="10"/>
      <c r="J986" s="21"/>
      <c r="K986" s="19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X986" s="22"/>
      <c r="Y986" s="10"/>
      <c r="Z986" s="10"/>
    </row>
    <row r="987">
      <c r="C987" s="19"/>
      <c r="D987" s="19"/>
      <c r="F987" s="20"/>
      <c r="I987" s="10"/>
      <c r="J987" s="21"/>
      <c r="K987" s="19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X987" s="22"/>
      <c r="Y987" s="10"/>
      <c r="Z987" s="10"/>
    </row>
    <row r="988">
      <c r="C988" s="19"/>
      <c r="D988" s="19"/>
      <c r="F988" s="20"/>
      <c r="I988" s="10"/>
      <c r="J988" s="21"/>
      <c r="K988" s="19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X988" s="22"/>
      <c r="Y988" s="10"/>
      <c r="Z988" s="10"/>
    </row>
    <row r="989">
      <c r="C989" s="19"/>
      <c r="D989" s="19"/>
      <c r="F989" s="20"/>
      <c r="I989" s="10"/>
      <c r="J989" s="21"/>
      <c r="K989" s="19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X989" s="22"/>
      <c r="Y989" s="10"/>
      <c r="Z989" s="10"/>
    </row>
    <row r="990">
      <c r="C990" s="19"/>
      <c r="D990" s="19"/>
      <c r="F990" s="20"/>
      <c r="I990" s="10"/>
      <c r="J990" s="21"/>
      <c r="K990" s="19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X990" s="22"/>
      <c r="Y990" s="10"/>
      <c r="Z990" s="10"/>
    </row>
    <row r="991">
      <c r="C991" s="19"/>
      <c r="D991" s="19"/>
      <c r="F991" s="20"/>
      <c r="I991" s="10"/>
      <c r="J991" s="21"/>
      <c r="K991" s="19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X991" s="22"/>
      <c r="Y991" s="10"/>
      <c r="Z991" s="10"/>
    </row>
    <row r="992">
      <c r="C992" s="19"/>
      <c r="D992" s="19"/>
      <c r="F992" s="20"/>
      <c r="I992" s="10"/>
      <c r="J992" s="21"/>
      <c r="K992" s="19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X992" s="22"/>
      <c r="Y992" s="10"/>
      <c r="Z992" s="10"/>
    </row>
    <row r="993">
      <c r="C993" s="19"/>
      <c r="D993" s="19"/>
      <c r="F993" s="20"/>
      <c r="I993" s="10"/>
      <c r="J993" s="21"/>
      <c r="K993" s="19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X993" s="22"/>
      <c r="Y993" s="10"/>
      <c r="Z993" s="10"/>
    </row>
    <row r="994">
      <c r="C994" s="19"/>
      <c r="D994" s="19"/>
      <c r="F994" s="20"/>
      <c r="I994" s="10"/>
      <c r="J994" s="21"/>
      <c r="K994" s="19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X994" s="22"/>
      <c r="Y994" s="10"/>
      <c r="Z994" s="10"/>
    </row>
    <row r="995">
      <c r="C995" s="19"/>
      <c r="D995" s="19"/>
      <c r="F995" s="20"/>
      <c r="I995" s="10"/>
      <c r="J995" s="21"/>
      <c r="K995" s="19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X995" s="22"/>
      <c r="Y995" s="10"/>
      <c r="Z995" s="10"/>
    </row>
    <row r="996">
      <c r="C996" s="19"/>
      <c r="D996" s="19"/>
      <c r="F996" s="20"/>
      <c r="I996" s="10"/>
      <c r="J996" s="21"/>
      <c r="K996" s="19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X996" s="22"/>
      <c r="Y996" s="10"/>
      <c r="Z996" s="10"/>
    </row>
  </sheetData>
  <hyperlinks>
    <hyperlink r:id="rId1" ref="AA2"/>
    <hyperlink r:id="rId2" ref="AB2"/>
    <hyperlink r:id="rId3" ref="AC2"/>
    <hyperlink r:id="rId4" ref="AA3"/>
    <hyperlink r:id="rId5" ref="AC3"/>
    <hyperlink r:id="rId6" ref="AA4"/>
    <hyperlink r:id="rId7" ref="AB4"/>
    <hyperlink r:id="rId8" ref="AC4"/>
    <hyperlink r:id="rId9" ref="AA5"/>
    <hyperlink r:id="rId10" ref="AB5"/>
    <hyperlink r:id="rId11" ref="AC5"/>
    <hyperlink r:id="rId12" ref="AA6"/>
    <hyperlink r:id="rId13" ref="AB6"/>
    <hyperlink r:id="rId14" ref="AC6"/>
    <hyperlink r:id="rId15" ref="AA7"/>
    <hyperlink r:id="rId16" ref="AB7"/>
    <hyperlink r:id="rId17" ref="AC7"/>
    <hyperlink r:id="rId18" ref="AA8"/>
    <hyperlink r:id="rId19" ref="AB8"/>
    <hyperlink r:id="rId20" ref="AC8"/>
    <hyperlink r:id="rId21" ref="AA9"/>
    <hyperlink r:id="rId22" ref="AB9"/>
    <hyperlink r:id="rId23" ref="AC9"/>
    <hyperlink r:id="rId24" ref="AA10"/>
    <hyperlink r:id="rId25" ref="AB10"/>
    <hyperlink r:id="rId26" ref="AC10"/>
    <hyperlink r:id="rId27" ref="AA11"/>
    <hyperlink r:id="rId28" ref="AB11"/>
    <hyperlink r:id="rId29" ref="AC11"/>
    <hyperlink r:id="rId30" ref="AA12"/>
    <hyperlink r:id="rId31" ref="AB12"/>
    <hyperlink r:id="rId32" ref="AC12"/>
    <hyperlink r:id="rId33" ref="AA13"/>
    <hyperlink r:id="rId34" ref="AB13"/>
    <hyperlink r:id="rId35" ref="AC13"/>
    <hyperlink r:id="rId36" ref="AA14"/>
    <hyperlink r:id="rId37" ref="AB14"/>
    <hyperlink r:id="rId38" ref="AC14"/>
    <hyperlink r:id="rId39" ref="AA15"/>
    <hyperlink r:id="rId40" ref="AB15"/>
    <hyperlink r:id="rId41" ref="AC15"/>
    <hyperlink r:id="rId42" ref="AA16"/>
    <hyperlink r:id="rId43" ref="AB16"/>
    <hyperlink r:id="rId44" ref="AC16"/>
    <hyperlink r:id="rId45" ref="AA17"/>
    <hyperlink r:id="rId46" ref="AB17"/>
    <hyperlink r:id="rId47" ref="AC17"/>
    <hyperlink r:id="rId48" ref="AA18"/>
    <hyperlink r:id="rId49" ref="AB18"/>
    <hyperlink r:id="rId50" ref="AC18"/>
    <hyperlink r:id="rId51" ref="AA19"/>
    <hyperlink r:id="rId52" ref="AB19"/>
    <hyperlink r:id="rId53" ref="AC19"/>
    <hyperlink r:id="rId54" ref="AA20"/>
    <hyperlink r:id="rId55" ref="AB20"/>
    <hyperlink r:id="rId56" ref="AC20"/>
    <hyperlink r:id="rId57" ref="AA21"/>
    <hyperlink r:id="rId58" ref="AB21"/>
    <hyperlink r:id="rId59" ref="AC21"/>
    <hyperlink r:id="rId60" ref="AA22"/>
    <hyperlink r:id="rId61" ref="AB22"/>
    <hyperlink r:id="rId62" ref="AC22"/>
    <hyperlink r:id="rId63" ref="AA23"/>
    <hyperlink r:id="rId64" ref="AB23"/>
    <hyperlink r:id="rId65" ref="AC23"/>
    <hyperlink r:id="rId66" ref="AA24"/>
    <hyperlink r:id="rId67" ref="AB24"/>
    <hyperlink r:id="rId68" ref="AC24"/>
    <hyperlink r:id="rId69" ref="AA25"/>
    <hyperlink r:id="rId70" ref="AB25"/>
    <hyperlink r:id="rId71" ref="AC25"/>
    <hyperlink r:id="rId72" ref="AA26"/>
    <hyperlink r:id="rId73" ref="AB26"/>
    <hyperlink r:id="rId74" ref="AC26"/>
    <hyperlink r:id="rId75" ref="AA27"/>
    <hyperlink r:id="rId76" ref="AB27"/>
    <hyperlink r:id="rId77" ref="AC27"/>
    <hyperlink r:id="rId78" ref="AA28"/>
    <hyperlink r:id="rId79" ref="AB28"/>
    <hyperlink r:id="rId80" ref="AC28"/>
    <hyperlink r:id="rId81" ref="AA29"/>
    <hyperlink r:id="rId82" ref="AB29"/>
    <hyperlink r:id="rId83" ref="AC29"/>
    <hyperlink r:id="rId84" ref="AA30"/>
    <hyperlink r:id="rId85" ref="AB30"/>
    <hyperlink r:id="rId86" ref="AC30"/>
    <hyperlink r:id="rId87" ref="AA31"/>
    <hyperlink r:id="rId88" ref="AB31"/>
    <hyperlink r:id="rId89" ref="AC31"/>
    <hyperlink r:id="rId90" ref="AA32"/>
    <hyperlink r:id="rId91" ref="AB32"/>
    <hyperlink r:id="rId92" ref="AC32"/>
    <hyperlink r:id="rId93" ref="AA33"/>
    <hyperlink r:id="rId94" ref="AB33"/>
    <hyperlink r:id="rId95" ref="AC33"/>
    <hyperlink r:id="rId96" ref="AA34"/>
    <hyperlink r:id="rId97" ref="AB34"/>
    <hyperlink r:id="rId98" ref="AC34"/>
    <hyperlink r:id="rId99" ref="AA35"/>
    <hyperlink r:id="rId100" ref="AB35"/>
    <hyperlink r:id="rId101" ref="AC35"/>
    <hyperlink r:id="rId102" ref="AA36"/>
    <hyperlink r:id="rId103" ref="AB36"/>
    <hyperlink r:id="rId104" ref="AC36"/>
    <hyperlink r:id="rId105" ref="AA37"/>
    <hyperlink r:id="rId106" ref="AB37"/>
    <hyperlink r:id="rId107" ref="AC37"/>
    <hyperlink r:id="rId108" ref="AA38"/>
    <hyperlink r:id="rId109" ref="AB38"/>
    <hyperlink r:id="rId110" ref="AC38"/>
    <hyperlink r:id="rId111" ref="AA39"/>
    <hyperlink r:id="rId112" ref="AB39"/>
    <hyperlink r:id="rId113" ref="AC39"/>
    <hyperlink r:id="rId114" ref="AA40"/>
    <hyperlink r:id="rId115" ref="AB40"/>
    <hyperlink r:id="rId116" ref="AC40"/>
    <hyperlink r:id="rId117" ref="AA41"/>
    <hyperlink r:id="rId118" ref="AB41"/>
    <hyperlink r:id="rId119" ref="AC41"/>
    <hyperlink r:id="rId120" ref="AA42"/>
    <hyperlink r:id="rId121" ref="AB42"/>
    <hyperlink r:id="rId122" ref="AC42"/>
    <hyperlink r:id="rId123" ref="AA43"/>
    <hyperlink r:id="rId124" ref="AB43"/>
    <hyperlink r:id="rId125" ref="AC43"/>
    <hyperlink r:id="rId126" ref="AA44"/>
    <hyperlink r:id="rId127" ref="AB44"/>
    <hyperlink r:id="rId128" ref="AC44"/>
    <hyperlink r:id="rId129" ref="AA45"/>
    <hyperlink r:id="rId130" ref="AB45"/>
    <hyperlink r:id="rId131" ref="AC45"/>
    <hyperlink r:id="rId132" ref="AA46"/>
    <hyperlink r:id="rId133" ref="AB46"/>
    <hyperlink r:id="rId134" ref="AC46"/>
    <hyperlink r:id="rId135" ref="AA47"/>
    <hyperlink r:id="rId136" ref="AB47"/>
    <hyperlink r:id="rId137" ref="AC47"/>
    <hyperlink r:id="rId138" ref="AA48"/>
    <hyperlink r:id="rId139" ref="AB48"/>
    <hyperlink r:id="rId140" ref="AC48"/>
    <hyperlink r:id="rId141" ref="AA49"/>
    <hyperlink r:id="rId142" ref="AB49"/>
    <hyperlink r:id="rId143" ref="AC49"/>
    <hyperlink r:id="rId144" ref="AA50"/>
    <hyperlink r:id="rId145" ref="AB50"/>
    <hyperlink r:id="rId146" ref="AC50"/>
    <hyperlink r:id="rId147" ref="AA51"/>
    <hyperlink r:id="rId148" ref="AB51"/>
    <hyperlink r:id="rId149" ref="AC51"/>
    <hyperlink r:id="rId150" ref="AA52"/>
    <hyperlink r:id="rId151" ref="AB52"/>
    <hyperlink r:id="rId152" ref="AC52"/>
    <hyperlink r:id="rId153" ref="AA53"/>
    <hyperlink r:id="rId154" ref="AB53"/>
    <hyperlink r:id="rId155" ref="AC53"/>
    <hyperlink r:id="rId156" ref="AA54"/>
    <hyperlink r:id="rId157" ref="AB54"/>
    <hyperlink r:id="rId158" ref="AC54"/>
    <hyperlink r:id="rId159" ref="AA55"/>
    <hyperlink r:id="rId160" ref="AB55"/>
    <hyperlink r:id="rId161" ref="AC55"/>
    <hyperlink r:id="rId162" ref="AA56"/>
    <hyperlink r:id="rId163" ref="AB56"/>
    <hyperlink r:id="rId164" ref="AC56"/>
    <hyperlink r:id="rId165" ref="AA57"/>
    <hyperlink r:id="rId166" ref="AB57"/>
    <hyperlink r:id="rId167" ref="AC57"/>
    <hyperlink r:id="rId168" ref="AA58"/>
    <hyperlink r:id="rId169" ref="AB58"/>
    <hyperlink r:id="rId170" ref="AC58"/>
    <hyperlink r:id="rId171" ref="AA59"/>
    <hyperlink r:id="rId172" ref="AB59"/>
    <hyperlink r:id="rId173" ref="AC59"/>
    <hyperlink r:id="rId174" ref="AA60"/>
    <hyperlink r:id="rId175" ref="AB60"/>
    <hyperlink r:id="rId176" ref="AC60"/>
    <hyperlink r:id="rId177" ref="AA61"/>
    <hyperlink r:id="rId178" ref="AB61"/>
    <hyperlink r:id="rId179" ref="AC61"/>
    <hyperlink r:id="rId180" ref="AA62"/>
    <hyperlink r:id="rId181" ref="AB62"/>
    <hyperlink r:id="rId182" ref="AC62"/>
    <hyperlink r:id="rId183" ref="AA63"/>
    <hyperlink r:id="rId184" ref="AB63"/>
    <hyperlink r:id="rId185" ref="AC63"/>
    <hyperlink r:id="rId186" ref="AA64"/>
    <hyperlink r:id="rId187" ref="AB64"/>
    <hyperlink r:id="rId188" ref="AC64"/>
    <hyperlink r:id="rId189" ref="AA65"/>
    <hyperlink r:id="rId190" ref="AB65"/>
    <hyperlink r:id="rId191" ref="AC65"/>
    <hyperlink r:id="rId192" ref="AA66"/>
    <hyperlink r:id="rId193" ref="AB66"/>
    <hyperlink r:id="rId194" ref="AC66"/>
    <hyperlink r:id="rId195" ref="AA67"/>
    <hyperlink r:id="rId196" ref="AB67"/>
    <hyperlink r:id="rId197" ref="AC67"/>
    <hyperlink r:id="rId198" ref="AA68"/>
    <hyperlink r:id="rId199" ref="AB68"/>
    <hyperlink r:id="rId200" ref="AC68"/>
    <hyperlink r:id="rId201" ref="AA69"/>
    <hyperlink r:id="rId202" ref="AB69"/>
    <hyperlink r:id="rId203" ref="AC69"/>
    <hyperlink r:id="rId204" ref="AA70"/>
    <hyperlink r:id="rId205" ref="AB70"/>
    <hyperlink r:id="rId206" ref="AC70"/>
    <hyperlink r:id="rId207" ref="AA71"/>
    <hyperlink r:id="rId208" ref="AB71"/>
    <hyperlink r:id="rId209" ref="AC71"/>
    <hyperlink r:id="rId210" ref="AA72"/>
    <hyperlink r:id="rId211" ref="AB72"/>
    <hyperlink r:id="rId212" ref="AC72"/>
    <hyperlink r:id="rId213" ref="AA73"/>
    <hyperlink r:id="rId214" ref="AB73"/>
    <hyperlink r:id="rId215" ref="AC73"/>
    <hyperlink r:id="rId216" ref="AA74"/>
    <hyperlink r:id="rId217" ref="AB74"/>
    <hyperlink r:id="rId218" ref="AC74"/>
    <hyperlink r:id="rId219" ref="AA75"/>
    <hyperlink r:id="rId220" ref="AB75"/>
    <hyperlink r:id="rId221" ref="AC75"/>
    <hyperlink r:id="rId222" ref="AA76"/>
    <hyperlink r:id="rId223" ref="AB76"/>
    <hyperlink r:id="rId224" ref="AC76"/>
    <hyperlink r:id="rId225" ref="AA77"/>
    <hyperlink r:id="rId226" ref="AB77"/>
    <hyperlink r:id="rId227" ref="AC77"/>
    <hyperlink r:id="rId228" ref="AA78"/>
    <hyperlink r:id="rId229" ref="AB78"/>
    <hyperlink r:id="rId230" ref="AC78"/>
    <hyperlink r:id="rId231" ref="AA79"/>
    <hyperlink r:id="rId232" ref="AB79"/>
    <hyperlink r:id="rId233" ref="AC79"/>
    <hyperlink r:id="rId234" ref="AA80"/>
    <hyperlink r:id="rId235" ref="AB80"/>
    <hyperlink r:id="rId236" ref="AC80"/>
    <hyperlink r:id="rId237" ref="AA81"/>
    <hyperlink r:id="rId238" ref="AB81"/>
    <hyperlink r:id="rId239" ref="AC81"/>
    <hyperlink r:id="rId240" ref="AA82"/>
    <hyperlink r:id="rId241" ref="AB82"/>
    <hyperlink r:id="rId242" ref="AC82"/>
    <hyperlink r:id="rId243" ref="AA83"/>
    <hyperlink r:id="rId244" ref="AB83"/>
    <hyperlink r:id="rId245" ref="AC83"/>
    <hyperlink r:id="rId246" ref="AA84"/>
    <hyperlink r:id="rId247" ref="AB84"/>
    <hyperlink r:id="rId248" ref="AC84"/>
    <hyperlink r:id="rId249" ref="AA85"/>
    <hyperlink r:id="rId250" ref="AB85"/>
    <hyperlink r:id="rId251" ref="AC85"/>
    <hyperlink r:id="rId252" ref="AA86"/>
    <hyperlink r:id="rId253" ref="AB86"/>
    <hyperlink r:id="rId254" ref="AC86"/>
    <hyperlink r:id="rId255" ref="AA87"/>
    <hyperlink r:id="rId256" ref="AB87"/>
    <hyperlink r:id="rId257" ref="AC87"/>
    <hyperlink r:id="rId258" ref="AA88"/>
    <hyperlink r:id="rId259" ref="AB88"/>
    <hyperlink r:id="rId260" ref="AC88"/>
  </hyperlinks>
  <drawing r:id="rId2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23" t="s">
        <v>23</v>
      </c>
    </row>
    <row r="5">
      <c r="B5" s="24" t="s">
        <v>361</v>
      </c>
      <c r="C5" s="24" t="s">
        <v>362</v>
      </c>
      <c r="D5" s="24" t="s">
        <v>363</v>
      </c>
      <c r="E5" s="24" t="s">
        <v>364</v>
      </c>
      <c r="F5" s="24" t="s">
        <v>365</v>
      </c>
      <c r="G5" s="24" t="s">
        <v>366</v>
      </c>
      <c r="H5" s="24" t="s">
        <v>367</v>
      </c>
      <c r="I5" s="24" t="s">
        <v>368</v>
      </c>
      <c r="J5" s="24" t="s">
        <v>369</v>
      </c>
      <c r="K5" s="24" t="s">
        <v>370</v>
      </c>
      <c r="L5" s="24" t="s">
        <v>371</v>
      </c>
      <c r="M5" s="24" t="s">
        <v>372</v>
      </c>
    </row>
    <row r="6">
      <c r="A6" s="25">
        <v>2023.0</v>
      </c>
      <c r="B6" s="26" t="str">
        <f>IF(
  COUNTIFS(Data!B2:B1005, "&gt;="&amp;DATE(2023,1,1), Data!B2:B1005, "&lt;"&amp;DATE(2023,2,1)) = 0,
  "",
  SUMIFS(Data!X2:X1005, Data!B2:B1005, "&gt;="&amp;DATE(2023,1,1), Data!B2:B1005, "&lt;"&amp;DATE(2023,2,1))
)
</f>
        <v/>
      </c>
      <c r="C6" s="26" t="str">
        <f>IF(
  COUNTIFS(Data!B2:B1005, "&gt;="&amp;DATE(2023,2,1), Data!B2:B1005, "&lt;"&amp;DATE(2023,3,1)) = 0,
  "",
  SUMIFS(Data!X2:X1005, Data!B2:B1005, "&gt;="&amp;DATE(2023,2,1), Data!B2:B1005, "&lt;"&amp;DATE(2023,3,1))
)
</f>
        <v/>
      </c>
      <c r="D6" s="26" t="str">
        <f>IF(
  COUNTIFS(Data!B2:B1005, "&gt;="&amp;DATE(2023,3,1), Data!B2:B1005, "&lt;"&amp;DATE(2023,4,1)) = 0,
  "",
  SUMIFS(Data!X2:X1005, Data!B2:B1005, "&gt;="&amp;DATE(2023,3,1), Data!B2:B1005, "&lt;"&amp;DATE(2023,4,1))
)
</f>
        <v/>
      </c>
      <c r="E6" s="26" t="str">
        <f>IF(
  COUNTIFS(Data!B2:B1005, "&gt;="&amp;DATE(2023,4,1), Data!B2:B1005, "&lt;"&amp;DATE(2023,5,1)) = 0,
  "",
  SUMIFS(Data!X2:X1005, Data!B2:B1005, "&gt;="&amp;DATE(2023,4,1), Data!B2:B1005, "&lt;"&amp;DATE(2023,5,1))
)
</f>
        <v/>
      </c>
      <c r="F6" s="26" t="str">
        <f>IF(
  COUNTIFS(Data!B2:B1005, "&gt;="&amp;DATE(2023,5,1), Data!B2:B1005, "&lt;"&amp;DATE(2023,6,1)) = 0,
  "",
  SUMIFS(Data!X2:X1005, Data!B2:B1005, "&gt;="&amp;DATE(2023,5,1), Data!B2:B1005, "&lt;"&amp;DATE(2023,6,1))
)
</f>
        <v/>
      </c>
      <c r="G6" s="26" t="str">
        <f>IF(
  COUNTIFS(Data!B2:B1005, "&gt;="&amp;DATE(2023,6,1), Data!B2:B1005, "&lt;"&amp;DATE(2023,7,1)) = 0,
  "",
  SUMIFS(Data!X2:X1005, Data!B2:B1005, "&gt;="&amp;DATE(2023,6,1), Data!B2:B1005, "&lt;"&amp;DATE(2023,7,1))
)
</f>
        <v/>
      </c>
      <c r="H6" s="26" t="str">
        <f>IF(
  COUNTIFS(Data!B2:B1005, "&gt;="&amp;DATE(2023,7,1), Data!B2:B1005, "&lt;"&amp;DATE(2023,8,1)) = 0,
  "",
  SUMIFS(Data!X2:X1005, Data!B2:B1005, "&gt;="&amp;DATE(2023,7,1), Data!B2:B1005, "&lt;"&amp;DATE(2023,8,1))
)
</f>
        <v/>
      </c>
      <c r="I6" s="26" t="str">
        <f>IF(
  COUNTIFS(Data!B2:B1005, "&gt;="&amp;DATE(2023,8,1), Data!B2:B1005, "&lt;"&amp;DATE(2023,9,1)) = 0,
  "",
  SUMIFS(Data!X2:X1005, Data!B2:B1005, "&gt;="&amp;DATE(2023,8,1), Data!B2:B1005, "&lt;"&amp;DATE(2023,9,1))
)
</f>
        <v/>
      </c>
      <c r="J6" s="26" t="str">
        <f>IF(
  COUNTIFS(Data!B2:B1005, "&gt;="&amp;DATE(2023,9,1), Data!B2:B1005, "&lt;"&amp;DATE(2023,10,1)) = 0,
  "",
  SUMIFS(Data!X2:X1005, Data!B2:B1005, "&gt;="&amp;DATE(2023,9,1), Data!B2:B1005, "&lt;"&amp;DATE(2023,10,1))
)
</f>
        <v/>
      </c>
      <c r="K6" s="26" t="str">
        <f>IF(
  COUNTIFS(Data!B2:B1005, "&gt;="&amp;DATE(2023,10,1), Data!B2:B1005, "&lt;"&amp;DATE(2023,11,1)) = 0,
  "",
  SUMIFS(Data!X2:X1005, Data!B2:B1005, "&gt;="&amp;DATE(2023,10,1), Data!B2:B1005, "&lt;"&amp;DATE(2023,11,1))
)
</f>
        <v/>
      </c>
      <c r="L6" s="26" t="str">
        <f>IF(
  COUNTIFS(Data!B2:B1005, "&gt;="&amp;DATE(2023,11,1), Data!B2:B1005, "&lt;"&amp;DATE(2023,12,1)) = 0,
  "",
  SUMIFS(Data!X2:X1005, Data!B2:B1005, "&gt;="&amp;DATE(2023,11,1), Data!B2:B1005, "&lt;"&amp;DATE(2023,12,1))
)
</f>
        <v/>
      </c>
      <c r="M6" s="26" t="str">
        <f>IF(
  COUNTIFS(Data!B2:B1005, "&gt;="&amp;DATE(2024,1,1), Data!B2:B1005, "&lt;"&amp;DATE(2024,2,1)) = 0,
  "",
  SUMIFS(Data!X2:X1005, Data!B2:B1005, "&gt;="&amp;DATE(2024,1,1), Data!B2:B1005, "&lt;"&amp;DATE(2024,2,1))
)
</f>
        <v/>
      </c>
    </row>
    <row r="7">
      <c r="A7" s="25">
        <v>2024.0</v>
      </c>
      <c r="B7" s="26" t="str">
        <f>IF(
  COUNTIFS(Data!B2:B1005, "&gt;="&amp;DATE(2024,1,1), Data!B2:B1005, "&lt;"&amp;DATE(2024,2,1)) = 0,
  "",
  SUMIFS(Data!X2:X1005, Data!B2:B1005, "&gt;="&amp;DATE(2024,1,1), Data!B2:B1005, "&lt;"&amp;DATE(2024,2,1))
)
</f>
        <v/>
      </c>
      <c r="C7" s="26" t="str">
        <f>IF(
  COUNTIFS(Data!B2:B1005, "&gt;="&amp;DATE(2024,2,1), Data!B2:B1005, "&lt;"&amp;DATE(2024,3,1)) = 0,
  "",
  SUMIFS(Data!X2:X1005, Data!B2:B1005, "&gt;="&amp;DATE(2024,2,1), Data!B2:B1005, "&lt;"&amp;DATE(2024,3,1))
)
</f>
        <v/>
      </c>
      <c r="D7" s="26" t="str">
        <f>IF(
  COUNTIFS(Data!B2:B1005, "&gt;="&amp;DATE(2024,3,1), Data!B2:B1005, "&lt;"&amp;DATE(2024,4,1)) = 0,
  "",
  SUMIFS(Data!X2:X1005, Data!B2:B1005, "&gt;="&amp;DATE(2024,3,1), Data!B2:B1005, "&lt;"&amp;DATE(2024,4,1))
)
</f>
        <v/>
      </c>
      <c r="E7" s="26" t="str">
        <f>IF(
  COUNTIFS(Data!B2:B1005, "&gt;="&amp;DATE(2024,4,1), Data!B2:B1005, "&lt;"&amp;DATE(2024,5,1)) = 0,
  "",
  SUMIFS(Data!X2:X1005, Data!B2:B1005, "&gt;="&amp;DATE(2024,4,1), Data!B2:B1005, "&lt;"&amp;DATE(2024,5,1))
)
</f>
        <v/>
      </c>
      <c r="F7" s="26" t="str">
        <f>IF(
  COUNTIFS(Data!B2:B1005, "&gt;="&amp;DATE(2024,5,1), Data!B2:B1005, "&lt;"&amp;DATE(2024,6,1)) = 0,
  "",
  SUMIFS(Data!X2:X1005, Data!B2:B1005, "&gt;="&amp;DATE(2024,5,1), Data!B2:B1005, "&lt;"&amp;DATE(2024,6,1))
)
</f>
        <v/>
      </c>
      <c r="G7" s="26" t="str">
        <f>IF(
  COUNTIFS(Data!B2:B1005, "&gt;="&amp;DATE(2024,6,1), Data!B2:B1005, "&lt;"&amp;DATE(2024,7,1)) = 0,
  "",
  SUMIFS(Data!X2:X1005, Data!B2:B1005, "&gt;="&amp;DATE(2024,6,1), Data!B2:B1005, "&lt;"&amp;DATE(2024,7,1))
)
</f>
        <v/>
      </c>
      <c r="H7" s="26" t="str">
        <f>IF(
  COUNTIFS(Data!B2:B1005, "&gt;="&amp;DATE(2024,7,1), Data!B2:B1005, "&lt;"&amp;DATE(2024,8,1)) = 0,
  "",
  SUMIFS(Data!X2:X1005, Data!B2:B1005, "&gt;="&amp;DATE(2024,7,1), Data!B2:B1005, "&lt;"&amp;DATE(2024,8,1))
)
</f>
        <v/>
      </c>
      <c r="I7" s="26" t="str">
        <f>IF(
  COUNTIFS(Data!B2:B1005, "&gt;="&amp;DATE(2024,8,1), Data!B2:B1005, "&lt;"&amp;DATE(2024,9,1)) = 0,
  "",
  SUMIFS(Data!X2:X1005, Data!B2:B1005, "&gt;="&amp;DATE(2024,8,1), Data!B2:B1005, "&lt;"&amp;DATE(2024,9,1))
)
</f>
        <v/>
      </c>
      <c r="J7" s="26" t="str">
        <f>IF(
  COUNTIFS(Data!B2:B1005, "&gt;="&amp;DATE(2024,9,1), Data!B2:B1005, "&lt;"&amp;DATE(2024,10,1)) = 0,
  "",
  SUMIFS(Data!X2:X1005, Data!B2:B1005, "&gt;="&amp;DATE(2024,9,1), Data!B2:B1005, "&lt;"&amp;DATE(2024,10,1))
)
</f>
        <v/>
      </c>
      <c r="K7" s="26" t="str">
        <f>IF(
  COUNTIFS(Data!B2:B1005, "&gt;="&amp;DATE(2024,10,1), Data!B2:B1005, "&lt;"&amp;DATE(2024,11,1)) = 0,
  "",
  SUMIFS(Data!X2:X1005, Data!B2:B1005, "&gt;="&amp;DATE(2024,10,1), Data!B2:B1005, "&lt;"&amp;DATE(2024,11,1))
)
</f>
        <v/>
      </c>
      <c r="L7" s="26" t="str">
        <f>IF(
  COUNTIFS(Data!B2:B1005, "&gt;="&amp;DATE(2024,11,1), Data!B2:B1005, "&lt;"&amp;DATE(2024,12,1)) = 0,
  "",
  SUMIFS(Data!X2:X1005, Data!B2:B1005, "&gt;="&amp;DATE(2024,11,1), Data!B2:B1005, "&lt;"&amp;DATE(2024,12,1))
)
</f>
        <v/>
      </c>
      <c r="M7" s="27" t="str">
        <f>IF(
  COUNTIFS(Data!B2:B1005, "&gt;="&amp;DATE(2024,12,1), Data!B2:B1005, "&lt;"&amp;DATE(2025,1,1)) = 0,
  "",
  SUMIFS(Data!X2:X1005, Data!B2:B1005, "&gt;="&amp;DATE(2024,12,1), Data!B2:B1005, "&lt;"&amp;DATE(2025,1,1))
)
</f>
        <v/>
      </c>
    </row>
    <row r="8">
      <c r="A8" s="25">
        <v>2025.0</v>
      </c>
      <c r="B8" s="26">
        <f>IF(
  COUNTIFS(Data!B2:B1005, "&gt;="&amp;DATE(2025,1,1), Data!B2:B1005, "&lt;"&amp;DATE(2025,2,1)) = 0,
  "",
  SUMIFS(Data!X2:X1005, Data!B2:B1005, "&gt;="&amp;DATE(2025,1,1), Data!B2:B1005, "&lt;"&amp;DATE(2025,2,1))
)
</f>
        <v>0.05</v>
      </c>
      <c r="C8" s="26">
        <f>IF(
  COUNTIFS(Data!B2:B1005, "&gt;="&amp;DATE(2025,2,1), Data!B2:B1005, "&lt;"&amp;DATE(2025,3,1)) = 0,
  "",
  SUMIFS(Data!X2:X1005, Data!B2:B1005, "&gt;="&amp;DATE(2025,2,1), Data!B2:B1005, "&lt;"&amp;DATE(2025,3,1))
)
</f>
        <v>0.05</v>
      </c>
      <c r="D8" s="26">
        <f>IF(
  COUNTIFS(Data!B2:B1005, "&gt;="&amp;DATE(2025,3,1), Data!B2:B1005, "&lt;"&amp;DATE(2025,4,1)) = 0,
  "",
  SUMIFS(Data!X2:X1005, Data!B2:B1005, "&gt;="&amp;DATE(2025,3,1), Data!B2:B1005, "&lt;"&amp;DATE(2025,4,1))
)
</f>
        <v>-0.01</v>
      </c>
      <c r="E8" s="26">
        <f>IF(
  COUNTIFS(Data!B2:B1005, "&gt;="&amp;DATE(2025,4,1), Data!B2:B1005, "&lt;"&amp;DATE(2025,5,1)) = 0,
  "",
  SUMIFS(Data!X2:X1005, Data!B2:B1005, "&gt;="&amp;DATE(2025,4,1), Data!B2:B1005, "&lt;"&amp;DATE(2025,5,1))
)
</f>
        <v>-0.02</v>
      </c>
      <c r="F8" s="26" t="str">
        <f>IF(
  COUNTIFS(Data!B2:B1005, "&gt;="&amp;DATE(2025,5,1), Data!B2:B1005, "&lt;"&amp;DATE(2025,6,1)) = 0,
  "",
  SUMIFS(Data!X2:X1005, Data!B2:B1005, "&gt;="&amp;DATE(2025,5,1), Data!B2:B1005, "&lt;"&amp;DATE(2025,6,1))
)
</f>
        <v/>
      </c>
      <c r="G8" s="26" t="str">
        <f>IF(
  COUNTIFS(Data!B2:B1005, "&gt;="&amp;DATE(2025,6,1), Data!B2:B1005, "&lt;"&amp;DATE(2025,7,1)) = 0,
  "",
  SUMIFS(Data!X2:X1005, Data!B2:B1005, "&gt;="&amp;DATE(2025,6,1), Data!B2:B1005, "&lt;"&amp;DATE(2025,7,1))
)
</f>
        <v/>
      </c>
      <c r="H8" s="26" t="str">
        <f>IF(
  COUNTIFS(Data!B2:B1005, "&gt;="&amp;DATE(2025,7,1), Data!B2:B1005, "&lt;"&amp;DATE(2025,8,1)) = 0,
  "",
  SUMIFS(Data!X2:X1005, Data!B2:B1005, "&gt;="&amp;DATE(2025,7,1), Data!B2:B1005, "&lt;"&amp;DATE(2025,8,1))
)
</f>
        <v/>
      </c>
      <c r="I8" s="26" t="str">
        <f>IF(
  COUNTIFS(Data!B2:B1005, "&gt;="&amp;DATE(2025,8,1), Data!B2:B1005, "&lt;"&amp;DATE(2025,9,1)) = 0,
  "",
  SUMIFS(Data!X2:X1005, Data!B2:B1005, "&gt;="&amp;DATE(2025,8,1), Data!B2:B1005, "&lt;"&amp;DATE(2025,9,1))
)
</f>
        <v/>
      </c>
      <c r="J8" s="26" t="str">
        <f>IF(
  COUNTIFS(Data!B2:B1005, "&gt;="&amp;DATE(2025,9,1), Data!B2:B1005, "&lt;"&amp;DATE(2025,10,1)) = 0,
  "",
  SUMIFS(Data!X2:X1005, Data!B2:B1005, "&gt;="&amp;DATE(2025,9,1), Data!B2:B1005, "&lt;"&amp;DATE(2025,10,1))
)
</f>
        <v/>
      </c>
      <c r="K8" s="26" t="str">
        <f>IF(
  COUNTIFS(Data!B2:B1005, "&gt;="&amp;DATE(2025,10,1), Data!B2:B1005, "&lt;"&amp;DATE(2025,11,1)) = 0,
  "",
  SUMIFS(Data!X2:X1005, Data!B2:B1005, "&gt;="&amp;DATE(2025,10,1), Data!B2:B1005, "&lt;"&amp;DATE(2025,11,1))
)
</f>
        <v/>
      </c>
      <c r="L8" s="26" t="str">
        <f>IF(
  COUNTIFS(Data!B2:B1005, "&gt;="&amp;DATE(2025,11,1), Data!B2:B1005, "&lt;"&amp;DATE(2025,12,1)) = 0,
  "",
  SUMIFS(Data!X2:X1005, Data!B2:B1005, "&gt;="&amp;DATE(2025,11,1), Data!B2:B1005, "&lt;"&amp;DATE(2025,12,1))
)
</f>
        <v/>
      </c>
      <c r="M8" s="27" t="str">
        <f>IF(
  COUNTIFS(Data!B2:B1005, "&gt;="&amp;DATE(2025,12,1), Data!B2:B1005, "&lt;"&amp;DATE(2026,1,1)) = 0,
  "",
  SUMIFS(Data!X2:X1005, Data!B2:B1005, "&gt;="&amp;DATE(2025,12,1), Data!B2:B1005, "&lt;"&amp;DATE(2026,1,1))
)
</f>
        <v/>
      </c>
    </row>
    <row r="9">
      <c r="A9" s="28" t="s">
        <v>373</v>
      </c>
      <c r="B9" s="29">
        <f t="shared" ref="B9:M9" si="1">IFERROR(AVERAGEIF(B6:B8, "&lt;&gt;"),"")</f>
        <v>0.05</v>
      </c>
      <c r="C9" s="29">
        <f t="shared" si="1"/>
        <v>0.05</v>
      </c>
      <c r="D9" s="29">
        <f t="shared" si="1"/>
        <v>-0.01</v>
      </c>
      <c r="E9" s="29">
        <f t="shared" si="1"/>
        <v>-0.02</v>
      </c>
      <c r="F9" s="29" t="str">
        <f t="shared" si="1"/>
        <v/>
      </c>
      <c r="G9" s="29" t="str">
        <f t="shared" si="1"/>
        <v/>
      </c>
      <c r="H9" s="29" t="str">
        <f t="shared" si="1"/>
        <v/>
      </c>
      <c r="I9" s="29" t="str">
        <f t="shared" si="1"/>
        <v/>
      </c>
      <c r="J9" s="29" t="str">
        <f t="shared" si="1"/>
        <v/>
      </c>
      <c r="K9" s="29" t="str">
        <f t="shared" si="1"/>
        <v/>
      </c>
      <c r="L9" s="29" t="str">
        <f t="shared" si="1"/>
        <v/>
      </c>
      <c r="M9" s="29" t="str">
        <f t="shared" si="1"/>
        <v/>
      </c>
    </row>
    <row r="13">
      <c r="B13" s="23" t="s">
        <v>374</v>
      </c>
    </row>
    <row r="14">
      <c r="B14" s="24" t="s">
        <v>361</v>
      </c>
      <c r="C14" s="24" t="s">
        <v>362</v>
      </c>
      <c r="D14" s="24" t="s">
        <v>363</v>
      </c>
      <c r="E14" s="24" t="s">
        <v>364</v>
      </c>
      <c r="F14" s="24" t="s">
        <v>365</v>
      </c>
      <c r="G14" s="24" t="s">
        <v>366</v>
      </c>
      <c r="H14" s="24" t="s">
        <v>367</v>
      </c>
      <c r="I14" s="24" t="s">
        <v>368</v>
      </c>
      <c r="J14" s="24" t="s">
        <v>369</v>
      </c>
      <c r="K14" s="24" t="s">
        <v>370</v>
      </c>
      <c r="L14" s="24" t="s">
        <v>371</v>
      </c>
      <c r="M14" s="24" t="s">
        <v>372</v>
      </c>
    </row>
    <row r="15">
      <c r="A15" s="25">
        <v>2023.0</v>
      </c>
      <c r="B15" s="30" t="str">
        <f>IFERROR(__xludf.DUMMYFUNCTION("IFERROR(
  ARRAYFORMULA(AVERAGE(FILTER(Data!D2:D1005 - Data!C2:C1005, Data!B2:B1005 &gt;= DATE(2023,1,1), Data!B2:B1005 &lt; DATE(2023,2,1)))),
  """"
)
"),"")</f>
        <v/>
      </c>
      <c r="C15" s="30" t="str">
        <f>IFERROR(__xludf.DUMMYFUNCTION("IFERROR(
  ARRAYFORMULA(AVERAGE(FILTER(Data!D2:D1005 - Data!C2:C1005, Data!B2:B1005 &gt;= DATE(2023,2,1), Data!B2:B1005 &lt; DATE(2023,3,1)))),
  """"
)
"),"")</f>
        <v/>
      </c>
      <c r="D15" s="30" t="str">
        <f>IFERROR(__xludf.DUMMYFUNCTION("IFERROR(
  ARRAYFORMULA(AVERAGE(FILTER(Data!D2:D1005 - Data!C2:C1005, Data!B2:B1005 &gt;= DATE(2023,3,1), Data!B2:B1005 &lt; DATE(2023,4,1)))),
  """"
)
"),"")</f>
        <v/>
      </c>
      <c r="E15" s="30" t="str">
        <f>IFERROR(__xludf.DUMMYFUNCTION("IFERROR(
  ARRAYFORMULA(AVERAGE(FILTER(Data!D2:D1005 - Data!C2:C1005, Data!B2:B1005 &gt;= DATE(2023,4,1), Data!B2:B1005 &lt; DATE(2023,5,1)))),
  """"
)
"),"")</f>
        <v/>
      </c>
      <c r="F15" s="30" t="str">
        <f>IFERROR(__xludf.DUMMYFUNCTION("IFERROR(
  ARRAYFORMULA(AVERAGE(FILTER(Data!D2:D1005 - Data!C2:C1005, Data!B2:B1005 &gt;= DATE(2023,5,1), Data!B2:B1005 &lt; DATE(2023,6,1)))),
  """"
)
"),"")</f>
        <v/>
      </c>
      <c r="G15" s="30" t="str">
        <f>IFERROR(__xludf.DUMMYFUNCTION("IFERROR(
  ARRAYFORMULA(AVERAGE(FILTER(Data!D2:D1005 - Data!C2:C1005, Data!B2:B1005 &gt;= DATE(2023,6,1), Data!B2:B1005 &lt; DATE(2023,7,1)))),
  """"
)
"),"")</f>
        <v/>
      </c>
      <c r="H15" s="30" t="str">
        <f>IFERROR(__xludf.DUMMYFUNCTION("IFERROR(
  ARRAYFORMULA(AVERAGE(FILTER(Data!D2:D1005 - Data!C2:C1005, Data!B2:B1005 &gt;= DATE(2023,7,1), Data!B2:B1005 &lt; DATE(2023,8,1)))),
  """"
)
"),"")</f>
        <v/>
      </c>
      <c r="I15" s="30" t="str">
        <f>IFERROR(__xludf.DUMMYFUNCTION("IFERROR(
  ARRAYFORMULA(AVERAGE(FILTER(Data!D2:D1005 - Data!C2:C1005, Data!B2:B1005 &gt;= DATE(2023,8,1), Data!B2:B1005 &lt; DATE(2023,9,1)))),
  """"
)
"),"")</f>
        <v/>
      </c>
      <c r="J15" s="30" t="str">
        <f>IFERROR(__xludf.DUMMYFUNCTION("IFERROR(
  ARRAYFORMULA(AVERAGE(FILTER(Data!D2:D1005 - Data!C2:C1005, Data!B2:B1005 &gt;= DATE(2023,9,1), Data!B2:B1005 &lt; DATE(2023,10,1)))),
  """"
)
"),"")</f>
        <v/>
      </c>
      <c r="K15" s="30" t="str">
        <f>IFERROR(__xludf.DUMMYFUNCTION("IFERROR(
  ARRAYFORMULA(AVERAGE(FILTER(Data!D2:D1005 - Data!C2:C1005, Data!B2:B1005 &gt;= DATE(2023,10,1), Data!B2:B1005 &lt; DATE(2023,11,1)))),
  """"
)
"),"")</f>
        <v/>
      </c>
      <c r="L15" s="30" t="str">
        <f>IFERROR(__xludf.DUMMYFUNCTION("IFERROR(
  ARRAYFORMULA(AVERAGE(FILTER(Data!D2:D1005 - Data!C2:C1005, Data!B2:B1005 &gt;= DATE(2023,11,1), Data!B2:B1005 &lt; DATE(2023,12,1)))),
  """"
)
"),"")</f>
        <v/>
      </c>
      <c r="M15" s="30" t="str">
        <f>IFERROR(__xludf.DUMMYFUNCTION("IFERROR(
  ARRAYFORMULA(AVERAGE(FILTER(Data!D2:D1005 - Data!C2:C1005, Data!B2:B1005 &gt;= DATE(2023,12,1), Data!B2:B1005 &lt; DATE(2024,1,1)))),
  """"
)
"),"")</f>
        <v/>
      </c>
    </row>
    <row r="16">
      <c r="A16" s="25">
        <v>2024.0</v>
      </c>
      <c r="B16" s="30" t="str">
        <f>IFERROR(__xludf.DUMMYFUNCTION("IFERROR(
  ARRAYFORMULA(AVERAGE(FILTER(Data!D2:D1005 - Data!C2:C1005, Data!B2:B1005 &gt;= DATE(2024,1,1), Data!B2:B1005 &lt; DATE(2024,2,1)))),
  """"
)
"),"")</f>
        <v/>
      </c>
      <c r="C16" s="30" t="str">
        <f>IFERROR(__xludf.DUMMYFUNCTION("IFERROR(
  ARRAYFORMULA(AVERAGE(FILTER(Data!D2:D1005 - Data!C2:C1005, Data!B2:B1005 &gt;= DATE(2024,2,1), Data!B2:B1005 &lt; DATE(2024,3,1)))),
  """"
)
"),"")</f>
        <v/>
      </c>
      <c r="D16" s="30" t="str">
        <f>IFERROR(__xludf.DUMMYFUNCTION("IFERROR(
  ARRAYFORMULA(AVERAGE(FILTER(Data!D2:D1005 - Data!C2:C1005, Data!B2:B1005 &gt;= DATE(2024,3,1), Data!B2:B1005 &lt; DATE(2024,4,1)))),
  """"
)
"),"")</f>
        <v/>
      </c>
      <c r="E16" s="30" t="str">
        <f>IFERROR(__xludf.DUMMYFUNCTION("IFERROR(
  ARRAYFORMULA(AVERAGE(FILTER(Data!D2:D1005 - Data!C2:C1005, Data!B2:B1005 &gt;= DATE(2024,4,1), Data!B2:B1005 &lt; DATE(2024,5,1)))),
  """"
)
"),"")</f>
        <v/>
      </c>
      <c r="F16" s="30" t="str">
        <f>IFERROR(__xludf.DUMMYFUNCTION("IFERROR(
  ARRAYFORMULA(AVERAGE(FILTER(Data!D2:D1005 - Data!C2:C1005, Data!B2:B1005 &gt;= DATE(2024,5,1), Data!B2:B1005 &lt; DATE(2024,6,1)))),
  """"
)
"),"")</f>
        <v/>
      </c>
      <c r="G16" s="30" t="str">
        <f>IFERROR(__xludf.DUMMYFUNCTION("IFERROR(
  ARRAYFORMULA(AVERAGE(FILTER(Data!D2:D1005 - Data!C2:C1005, Data!B2:B1005 &gt;= DATE(2024,6,1), Data!B2:B1005 &lt; DATE(2024,7,1)))),
  """"
)
"),"")</f>
        <v/>
      </c>
      <c r="H16" s="30" t="str">
        <f>IFERROR(__xludf.DUMMYFUNCTION("IFERROR(
  ARRAYFORMULA(AVERAGE(FILTER(Data!D2:D1005 - Data!C2:C1005, Data!B2:B1005 &gt;= DATE(2024,7,1), Data!B2:B1005 &lt; DATE(2024,8,1)))),
  """"
)
"),"")</f>
        <v/>
      </c>
      <c r="I16" s="30" t="str">
        <f>IFERROR(__xludf.DUMMYFUNCTION("IFERROR(
  ARRAYFORMULA(AVERAGE(FILTER(Data!D2:D1005 - Data!C2:C1005, Data!B2:B1005 &gt;= DATE(2024,8,1), Data!B2:B1005 &lt; DATE(2024,9,1)))),
  """"
)
"),"")</f>
        <v/>
      </c>
      <c r="J16" s="30" t="str">
        <f>IFERROR(__xludf.DUMMYFUNCTION("IFERROR(
  ARRAYFORMULA(AVERAGE(FILTER(Data!D2:D1005 - Data!C2:C1005, Data!B2:B1005 &gt;= DATE(2024,9,1), Data!B2:B1005 &lt; DATE(2024,10,1)))),
  """"
)
"),"")</f>
        <v/>
      </c>
      <c r="K16" s="30" t="str">
        <f>IFERROR(__xludf.DUMMYFUNCTION("IFERROR(
  ARRAYFORMULA(AVERAGE(FILTER(Data!D2:D1005 - Data!C2:C1005, Data!B2:B1005 &gt;= DATE(2024,10,1), Data!B2:B1005 &lt; DATE(2024,11,1)))),
  """"
)
"),"")</f>
        <v/>
      </c>
      <c r="L16" s="30" t="str">
        <f>IFERROR(__xludf.DUMMYFUNCTION("IFERROR(
  ARRAYFORMULA(AVERAGE(FILTER(Data!D2:D1005 - Data!C2:C1005, Data!B2:B1005 &gt;= DATE(2024,11,1), Data!B2:B1005 &lt; DATE(2024,12,1)))),
  """"
)
"),"")</f>
        <v/>
      </c>
      <c r="M16" s="31" t="str">
        <f>IFERROR(__xludf.DUMMYFUNCTION("IFERROR(
  ARRAYFORMULA(AVERAGE(FILTER(Data!D2:D1005 - Data!C2:C1005, Data!B2:B1005 &gt;= DATE(2024,12,1), Data!B2:B1005 &lt; DATE(2025,1,1)))),
  """"
)
"),"")</f>
        <v/>
      </c>
    </row>
    <row r="17">
      <c r="A17" s="25">
        <v>2025.0</v>
      </c>
      <c r="B17" s="30">
        <f>IFERROR(__xludf.DUMMYFUNCTION("IFERROR(
  ARRAYFORMULA(AVERAGE(FILTER(Data!D2:D1005 - Data!C2:C1005, Data!B2:B1005 &gt;= DATE(2025,1,1), Data!B2:B1005 &lt; DATE(2025,2,1)))),
  """"
)
"),0.016098484848484862)</f>
        <v>0.01609848485</v>
      </c>
      <c r="C17" s="30">
        <f>IFERROR(__xludf.DUMMYFUNCTION("IFERROR(
  ARRAYFORMULA(AVERAGE(FILTER(Data!D2:D1005 - Data!C2:C1005, Data!B2:B1005 &gt;= DATE(2025,2,1), Data!B2:B1005 &lt; DATE(2025,3,1)))),
  """"
)
"),0.02452956989247313)</f>
        <v>0.02452956989</v>
      </c>
      <c r="D17" s="30">
        <f>IFERROR(__xludf.DUMMYFUNCTION("IFERROR(
  ARRAYFORMULA(AVERAGE(FILTER(Data!D2:D1005 - Data!C2:C1005, Data!B2:B1005 &gt;= DATE(2025,3,1), Data!B2:B1005 &lt; DATE(2025,4,1)))),
  """"
)
"),0.0168010752688172)</f>
        <v>0.01680107527</v>
      </c>
      <c r="E17" s="30">
        <f>IFERROR(__xludf.DUMMYFUNCTION("IFERROR(
  ARRAYFORMULA(AVERAGE(FILTER(Data!D2:D1005 - Data!C2:C1005, Data!B2:B1005 &gt;= DATE(2025,4,1), Data!B2:B1005 &lt; DATE(2025,5,1)))),
  """"
)
"),0.015624999999999997)</f>
        <v>0.015625</v>
      </c>
      <c r="F17" s="30" t="str">
        <f>IFERROR(__xludf.DUMMYFUNCTION("IFERROR(
  ARRAYFORMULA(AVERAGE(FILTER(Data!D2:D1005 - Data!C2:C1005, Data!B2:B1005 &gt;= DATE(2025,5,1), Data!B2:B1005 &lt; DATE(2025,6,1)))),
  """"
)
"),"")</f>
        <v/>
      </c>
      <c r="G17" s="30" t="str">
        <f>IFERROR(__xludf.DUMMYFUNCTION("IFERROR(
  ARRAYFORMULA(AVERAGE(FILTER(Data!D2:D1005 - Data!C2:C1005, Data!B2:B1005 &gt;= DATE(2025,6,1), Data!B2:B1005 &lt; DATE(2025,7,1)))),
  """"
)
"),"")</f>
        <v/>
      </c>
      <c r="H17" s="30" t="str">
        <f>IFERROR(__xludf.DUMMYFUNCTION("IFERROR(
  ARRAYFORMULA(AVERAGE(FILTER(Data!D2:D1005 - Data!C2:C1005, Data!B2:B1005 &gt;= DATE(2025,7,1), Data!B2:B1005 &lt; DATE(2025,8,1)))),
  """"
)
"),"")</f>
        <v/>
      </c>
      <c r="I17" s="30" t="str">
        <f>IFERROR(__xludf.DUMMYFUNCTION("IFERROR(
  ARRAYFORMULA(AVERAGE(FILTER(Data!D2:D1005 - Data!C2:C1005, Data!B2:B1005 &gt;= DATE(2025,8,1), Data!B2:B1005 &lt; DATE(2025,9,1)))),
  """"
)
"),"")</f>
        <v/>
      </c>
      <c r="J17" s="30" t="str">
        <f>IFERROR(__xludf.DUMMYFUNCTION("IFERROR(
  ARRAYFORMULA(AVERAGE(FILTER(Data!D2:D1005 - Data!C2:C1005, Data!B2:B1005 &gt;= DATE(2025,9,1), Data!B2:B1005 &lt; DATE(2025,10,1)))),
  """"
)
"),"")</f>
        <v/>
      </c>
      <c r="K17" s="30" t="str">
        <f>IFERROR(__xludf.DUMMYFUNCTION("IFERROR(
  ARRAYFORMULA(AVERAGE(FILTER(Data!D2:D1005 - Data!C2:C1005, Data!B2:B1005 &gt;= DATE(2025,10,1), Data!B2:B1005 &lt; DATE(2025,11,1)))),
  """"
)
"),"")</f>
        <v/>
      </c>
      <c r="L17" s="30" t="str">
        <f>IFERROR(__xludf.DUMMYFUNCTION("IFERROR(
  ARRAYFORMULA(AVERAGE(FILTER(Data!D2:D1005 - Data!C2:C1005, Data!B2:B1005 &gt;= DATE(2025,11,1), Data!B2:B1005 &lt; DATE(2025,12,1)))),
  """"
)
"),"")</f>
        <v/>
      </c>
      <c r="M17" s="31" t="str">
        <f>IFERROR(__xludf.DUMMYFUNCTION("IFERROR(
  ARRAYFORMULA(AVERAGE(FILTER(Data!D2:D1005 - Data!C2:C1005, Data!B2:B1005 &gt;= DATE(2025,12,1), Data!B2:B1005 &lt; DATE(2026,1,1)))),
  """"
)
"),"")</f>
        <v/>
      </c>
    </row>
    <row r="18">
      <c r="A18" s="28" t="s">
        <v>373</v>
      </c>
      <c r="B18" s="32">
        <f t="shared" ref="B18:M18" si="2">IFERROR(AVERAGE(B15:B17),"")</f>
        <v>0.01609848485</v>
      </c>
      <c r="C18" s="32">
        <f t="shared" si="2"/>
        <v>0.02452956989</v>
      </c>
      <c r="D18" s="32">
        <f t="shared" si="2"/>
        <v>0.01680107527</v>
      </c>
      <c r="E18" s="32">
        <f t="shared" si="2"/>
        <v>0.015625</v>
      </c>
      <c r="F18" s="32" t="str">
        <f t="shared" si="2"/>
        <v/>
      </c>
      <c r="G18" s="32" t="str">
        <f t="shared" si="2"/>
        <v/>
      </c>
      <c r="H18" s="32" t="str">
        <f t="shared" si="2"/>
        <v/>
      </c>
      <c r="I18" s="32" t="str">
        <f t="shared" si="2"/>
        <v/>
      </c>
      <c r="J18" s="32" t="str">
        <f t="shared" si="2"/>
        <v/>
      </c>
      <c r="K18" s="32" t="str">
        <f t="shared" si="2"/>
        <v/>
      </c>
      <c r="L18" s="32" t="str">
        <f t="shared" si="2"/>
        <v/>
      </c>
      <c r="M18" s="32" t="str">
        <f t="shared" si="2"/>
        <v/>
      </c>
    </row>
    <row r="22">
      <c r="B22" s="23" t="s">
        <v>375</v>
      </c>
    </row>
    <row r="23">
      <c r="B23" s="24" t="s">
        <v>361</v>
      </c>
      <c r="C23" s="24" t="s">
        <v>362</v>
      </c>
      <c r="D23" s="24" t="s">
        <v>363</v>
      </c>
      <c r="E23" s="24" t="s">
        <v>364</v>
      </c>
      <c r="F23" s="24" t="s">
        <v>365</v>
      </c>
      <c r="G23" s="24" t="s">
        <v>366</v>
      </c>
      <c r="H23" s="24" t="s">
        <v>367</v>
      </c>
      <c r="I23" s="24" t="s">
        <v>368</v>
      </c>
      <c r="J23" s="24" t="s">
        <v>369</v>
      </c>
      <c r="K23" s="24" t="s">
        <v>370</v>
      </c>
      <c r="L23" s="24" t="s">
        <v>371</v>
      </c>
      <c r="M23" s="24" t="s">
        <v>372</v>
      </c>
      <c r="R23" s="2" t="s">
        <v>376</v>
      </c>
    </row>
    <row r="24">
      <c r="A24" s="25">
        <v>2023.0</v>
      </c>
      <c r="B24" s="33" t="str">
        <f>IFERROR(__xludf.DUMMYFUNCTION("IFERROR(ARRAYFORMULA(AVERAGE(FILTER(Data!D2:D1005 - Data!C2:C1005, Data!B2:B1005 &gt;= DATE(2023,1,1), Data!B2:B1005 &lt; DATE(2023,2,1), Data!W2:W1005 = ""Loss""))),"""")"),"")</f>
        <v/>
      </c>
      <c r="C24" s="33" t="str">
        <f>IFERROR(__xludf.DUMMYFUNCTION("IFERROR(ARRAYFORMULA(AVERAGE(FILTER(Data!D2:D1005 - Data!C2:C1005, Data!B2:B1005 &gt;= DATE(2023,2,1), Data!B2:B1005 &lt; DATE(2023,3,1), Data!W2:W1005 = ""Loss""))),"""")"),"")</f>
        <v/>
      </c>
      <c r="D24" s="33" t="str">
        <f>IFERROR(__xludf.DUMMYFUNCTION("IFERROR(ARRAYFORMULA(AVERAGE(FILTER(Data!D2:D1005 - Data!C2:C1005, Data!B2:B1005 &gt;= DATE(2023,3,1), Data!B2:B1005 &lt; DATE(2023,4,1), Data!W2:W1005 = ""Loss""))),"""")"),"")</f>
        <v/>
      </c>
      <c r="E24" s="33" t="str">
        <f>IFERROR(__xludf.DUMMYFUNCTION("IFERROR(ARRAYFORMULA(AVERAGE(FILTER(Data!D2:D1005 - Data!C2:C1005, Data!B2:B1005 &gt;= DATE(2023,4,1), Data!B2:B1005 &lt; DATE(2023,5,1), Data!W2:W1005 = ""Loss""))),"""")"),"")</f>
        <v/>
      </c>
      <c r="F24" s="33" t="str">
        <f>IFERROR(__xludf.DUMMYFUNCTION("IFERROR(ARRAYFORMULA(AVERAGE(FILTER(Data!D2:D1005 - Data!C2:C1005, Data!B2:B1005 &gt;= DATE(2023,5,1), Data!B2:B1005 &lt; DATE(2023,6,1), Data!W2:W1005 = ""Loss""))),"""")"),"")</f>
        <v/>
      </c>
      <c r="G24" s="33" t="str">
        <f>IFERROR(__xludf.DUMMYFUNCTION("IFERROR(ARRAYFORMULA(AVERAGE(FILTER(Data!D2:D1005 - Data!C2:C1005, Data!B2:B1005 &gt;= DATE(2023,6,1), Data!B2:B1005 &lt; DATE(2023,7,1), Data!W2:W1005 = ""Loss""))),"""")"),"")</f>
        <v/>
      </c>
      <c r="H24" s="33" t="str">
        <f>IFERROR(__xludf.DUMMYFUNCTION("IFERROR(ARRAYFORMULA(AVERAGE(FILTER(Data!D2:D1005 - Data!C2:C1005, Data!B2:B1005 &gt;= DATE(2023,7,1), Data!B2:B1005 &lt; DATE(2023,8,1), Data!W2:W1005 = ""Loss""))),"""")"),"")</f>
        <v/>
      </c>
      <c r="I24" s="33" t="str">
        <f>IFERROR(__xludf.DUMMYFUNCTION("IFERROR(ARRAYFORMULA(AVERAGE(FILTER(Data!D2:D1005 - Data!C2:C1005, Data!B2:B1005 &gt;= DATE(2023,8,1), Data!B2:B1005 &lt; DATE(2023,9,1), Data!W2:W1005 = ""Loss""))),"""")"),"")</f>
        <v/>
      </c>
      <c r="J24" s="33" t="str">
        <f>IFERROR(__xludf.DUMMYFUNCTION("IFERROR(ARRAYFORMULA(AVERAGE(FILTER(Data!D2:D1005 - Data!C2:C1005, Data!B2:B1005 &gt;= DATE(2023,9,1), Data!B2:B1005 &lt; DATE(2023,10,1), Data!W2:W1005 = ""Loss""))),"""")"),"")</f>
        <v/>
      </c>
      <c r="K24" s="33" t="str">
        <f>IFERROR(__xludf.DUMMYFUNCTION("IFERROR(ARRAYFORMULA(AVERAGE(FILTER(Data!D2:D1005 - Data!C2:C1005, Data!B2:B1005 &gt;= DATE(2023,10,1), Data!B2:B1005 &lt; DATE(2023,11,1), Data!W2:W1005 = ""Loss""))),"""")"),"")</f>
        <v/>
      </c>
      <c r="L24" s="33" t="str">
        <f>IFERROR(__xludf.DUMMYFUNCTION("IFERROR(ARRAYFORMULA(AVERAGE(FILTER(Data!D2:D1005 - Data!C2:C1005, Data!B2:B1005 &gt;= DATE(2023,11,1), Data!B2:B1005 &lt; DATE(2023,12,1), Data!W2:W1005 = ""Loss""))),"""")"),"")</f>
        <v/>
      </c>
      <c r="M24" s="33" t="str">
        <f>IFERROR(__xludf.DUMMYFUNCTION("IFERROR(ARRAYFORMULA(AVERAGE(FILTER(Data!D2:D1005 - Data!C2:C1005, Data!B2:B1005 &gt;= DATE(2023,12,1), Data!B2:B1005 &lt; DATE(2024,1,1), Data!W2:W1005 = ""Win""))),"""")"),"")</f>
        <v/>
      </c>
      <c r="R24" s="2" t="s">
        <v>377</v>
      </c>
      <c r="S24" s="2" t="s">
        <v>378</v>
      </c>
      <c r="T24" s="2" t="s">
        <v>379</v>
      </c>
      <c r="U24" s="2" t="s">
        <v>380</v>
      </c>
    </row>
    <row r="25">
      <c r="A25" s="25">
        <v>2024.0</v>
      </c>
      <c r="B25" s="33" t="str">
        <f>IFERROR(__xludf.DUMMYFUNCTION("IFERROR(ARRAYFORMULA(AVERAGE(FILTER(Data!D2:D1005 - Data!C2:C1005, Data!B2:B1005 &gt;= DATE(2024,1,1), Data!B2:B1005 &lt; DATE(2024,2,1), Data!W2:W1005 = ""Loss""))),"""")"),"")</f>
        <v/>
      </c>
      <c r="C25" s="33" t="str">
        <f>IFERROR(__xludf.DUMMYFUNCTION("IFERROR(ARRAYFORMULA(AVERAGE(FILTER(Data!D2:D1005 - Data!C2:C1005, Data!B2:B1005 &gt;= DATE(2024,2,1), Data!B2:B1005 &lt; DATE(2024,3,1), Data!W2:W1005 = ""Loss""))),"""")"),"")</f>
        <v/>
      </c>
      <c r="D25" s="33" t="str">
        <f>IFERROR(__xludf.DUMMYFUNCTION("IFERROR(ARRAYFORMULA(AVERAGE(FILTER(Data!D2:D1005 - Data!C2:C1005, Data!B2:B1005 &gt;= DATE(2024,3,1), Data!B2:B1005 &lt; DATE(2024,4,1), Data!W2:W1005 = ""Loss""))),"""")"),"")</f>
        <v/>
      </c>
      <c r="E25" s="33" t="str">
        <f>IFERROR(__xludf.DUMMYFUNCTION("IFERROR(ARRAYFORMULA(AVERAGE(FILTER(Data!D2:D1005 - Data!C2:C1005, Data!B2:B1005 &gt;= DATE(2024,4,1), Data!B2:B1005 &lt; DATE(2024,5,1), Data!W2:W1005 = ""Win""))),"""")"),"")</f>
        <v/>
      </c>
      <c r="F25" s="33" t="str">
        <f>IFERROR(__xludf.DUMMYFUNCTION("IFERROR(ARRAYFORMULA(AVERAGE(FILTER(Data!D2:D1005 - Data!C2:C1005, Data!B2:B1005 &gt;= DATE(2024,5,1), Data!B2:B1005 &lt; DATE(2024,6,1), Data!W2:W1005 = ""Win""))),"""")"),"")</f>
        <v/>
      </c>
      <c r="G25" s="33" t="str">
        <f>IFERROR(__xludf.DUMMYFUNCTION("IFERROR(ARRAYFORMULA(AVERAGE(FILTER(Data!D2:D1005 - Data!C2:C1005, Data!B2:B1005 &gt;= DATE(2024,6,1), Data!B2:B1005 &lt; DATE(2024,7,1), Data!W2:W1005 = ""Loss""))),"""")"),"")</f>
        <v/>
      </c>
      <c r="H25" s="33" t="str">
        <f>IFERROR(__xludf.DUMMYFUNCTION("IFERROR(ARRAYFORMULA(AVERAGE(FILTER(Data!D2:D1005 - Data!C2:C1005, Data!B2:B1005 &gt;= DATE(2024,7,1), Data!B2:B1005 &lt; DATE(2024,8,1), Data!W2:W1005 = ""Loss""))),"""")"),"")</f>
        <v/>
      </c>
      <c r="I25" s="33" t="str">
        <f>IFERROR(__xludf.DUMMYFUNCTION("IFERROR(ARRAYFORMULA(AVERAGE(FILTER(Data!D2:D1005 - Data!C2:C1005, Data!B2:B1005 &gt;= DATE(2024,8,1), Data!B2:B1005 &lt; DATE(2024,9,1), Data!W2:W1005 = ""Loss""))),"""")"),"")</f>
        <v/>
      </c>
      <c r="J25" s="33" t="str">
        <f>IFERROR(__xludf.DUMMYFUNCTION("IFERROR(ARRAYFORMULA(AVERAGE(FILTER(Data!D2:D1005 - Data!C2:C1005, Data!B2:B1005 &gt;= DATE(2024,9,1), Data!B2:B1005 &lt; DATE(2024,10,1), Data!W2:W1005 = ""Loss""))),"""")"),"")</f>
        <v/>
      </c>
      <c r="K25" s="33" t="str">
        <f>IFERROR(__xludf.DUMMYFUNCTION("IFERROR(ARRAYFORMULA(AVERAGE(FILTER(Data!D2:D1005 - Data!C2:C1005, Data!B2:B1005 &gt;= DATE(2024,10,1), Data!B2:B1005 &lt; DATE(2024,11,1), Data!W2:W1005 = ""Loss""))),"""")"),"")</f>
        <v/>
      </c>
      <c r="L25" s="33" t="str">
        <f>IFERROR(__xludf.DUMMYFUNCTION("IFERROR(ARRAYFORMULA(AVERAGE(FILTER(Data!D2:D1005 - Data!C2:C1005, Data!B2:B1005 &gt;= DATE(2024,11,1), Data!B2:B1005 &lt; DATE(2024,12,1), Data!W2:W1005 = ""Loss""))),"""")"),"")</f>
        <v/>
      </c>
      <c r="M25" s="34" t="str">
        <f>IFERROR(__xludf.DUMMYFUNCTION("IFERROR(ARRAYFORMULA(AVERAGE(FILTER(Data!D2:D1005 - Data!C2:C1005, Data!B2:B1005 &gt;= DATE(2024,12,1), Data!B2:B1005 &lt; DATE(2025,1,1), Data!W2:W1005 = ""Loss""))),"""")"),"")</f>
        <v/>
      </c>
      <c r="Q25" s="2" t="s">
        <v>381</v>
      </c>
    </row>
    <row r="26">
      <c r="A26" s="25">
        <v>2025.0</v>
      </c>
      <c r="B26" s="33">
        <f>IFERROR(__xludf.DUMMYFUNCTION("IFERROR(ARRAYFORMULA(AVERAGE(FILTER(Data!D2:D1005 - Data!C2:C1005, Data!B2:B1005 &gt;= DATE(2025,1,1), Data!B2:B1005 &lt; DATE(2025,2,1), Data!W2:W1005 = ""Loss""))),"""")"),0.010416666666666704)</f>
        <v>0.01041666667</v>
      </c>
      <c r="C26" s="33">
        <f>IFERROR(__xludf.DUMMYFUNCTION("IFERROR(ARRAYFORMULA(AVERAGE(FILTER(Data!D2:D1005 - Data!C2:C1005, Data!B2:B1005 &gt;= DATE(2025,2,1), Data!B2:B1005 &lt; DATE(2025,3,1), Data!W2:W1005 = ""Loss""))),"""")"),0.03044871794871796)</f>
        <v>0.03044871795</v>
      </c>
      <c r="D26" s="33">
        <f>IFERROR(__xludf.DUMMYFUNCTION("IFERROR(ARRAYFORMULA(AVERAGE(FILTER(Data!D2:D1005 - Data!C2:C1005, Data!B2:B1005 &gt;= DATE(2025,3,1), Data!B2:B1005 &lt; DATE(2025,4,1), Data!W2:W1005 = ""Win""))),"""")"),0.015972222222222214)</f>
        <v>0.01597222222</v>
      </c>
      <c r="E26" s="33">
        <f>IFERROR(__xludf.DUMMYFUNCTION("IFERROR(ARRAYFORMULA(AVERAGE(FILTER(Data!D2:D1005 - Data!C2:C1005, Data!B2:B1005 &gt;= DATE(2025,4,1), Data!B2:B1005 &lt; DATE(2025,5,1), Data!W2:W1005 = ""Loss""))),"""")"),0.013020833333333336)</f>
        <v>0.01302083333</v>
      </c>
      <c r="F26" s="33" t="str">
        <f>IFERROR(__xludf.DUMMYFUNCTION("IFERROR(ARRAYFORMULA(AVERAGE(FILTER(Data!D2:D1005 - Data!C2:C1005, Data!B2:B1005 &gt;= DATE(2025,5,1), Data!B2:B1005 &lt; DATE(2025,6,1), Data!W2:W1005 = ""Loss""))),"""")"),"")</f>
        <v/>
      </c>
      <c r="G26" s="33" t="str">
        <f>IFERROR(__xludf.DUMMYFUNCTION("IFERROR(ARRAYFORMULA(AVERAGE(FILTER(Data!D2:D1005 - Data!C2:C1005, Data!B2:B1005 &gt;= DATE(2025,6,1), Data!B2:B1005 &lt; DATE(2025,7,1), Data!W2:W1005 = ""Loss""))),"""")"),"")</f>
        <v/>
      </c>
      <c r="H26" s="33" t="str">
        <f>IFERROR(__xludf.DUMMYFUNCTION("IFERROR(ARRAYFORMULA(AVERAGE(FILTER(Data!D2:D1005 - Data!C2:C1005, Data!B2:B1005 &gt;= DATE(2025,7,1), Data!B2:B1005 &lt; DATE(2025,8,1), Data!W2:W1005 = ""Loss""))),"""")"),"")</f>
        <v/>
      </c>
      <c r="I26" s="33" t="str">
        <f>IFERROR(__xludf.DUMMYFUNCTION("IFERROR(ARRAYFORMULA(AVERAGE(FILTER(Data!D2:D1005 - Data!C2:C1005, Data!B2:B1005 &gt;= DATE(2025,8,1), Data!B2:B1005 &lt; DATE(2025,9,1), Data!W2:W1005 = ""Loss""))),"""")"),"")</f>
        <v/>
      </c>
      <c r="J26" s="33" t="str">
        <f>IFERROR(__xludf.DUMMYFUNCTION("IFERROR(ARRAYFORMULA(AVERAGE(FILTER(Data!D2:D1005 - Data!C2:C1005, Data!B2:B1005 &gt;= DATE(2025,9,1), Data!B2:B1005 &lt; DATE(2025,10,1), Data!W2:W1005 = ""Loss""))),"""")"),"")</f>
        <v/>
      </c>
      <c r="K26" s="33" t="str">
        <f>IFERROR(__xludf.DUMMYFUNCTION("IFERROR(ARRAYFORMULA(AVERAGE(FILTER(Data!D2:D1005 - Data!C2:C1005, Data!B2:B1005 &gt;= DATE(2025,10,1), Data!B2:B1005 &lt; DATE(2025,11,1), Data!W2:W1005 = ""Loss""))),"""")"),"")</f>
        <v/>
      </c>
      <c r="L26" s="33" t="str">
        <f>IFERROR(__xludf.DUMMYFUNCTION("IFERROR(ARRAYFORMULA(AVERAGE(FILTER(Data!D2:D1005 - Data!C2:C1005, Data!B2:B1005 &gt;= DATE(2025,11,1), Data!B2:B1005 &lt; DATE(2025,12,1), Data!W2:W1005 = ""Loss""))),"""")"),"")</f>
        <v/>
      </c>
      <c r="M26" s="34" t="str">
        <f>IFERROR(__xludf.DUMMYFUNCTION("IFERROR(ARRAYFORMULA(AVERAGE(FILTER(Data!D2:D1005 - Data!C2:C1005, Data!B2:B1005 &gt;= DATE(2025,12,1), Data!B2:B1005 &lt; DATE(2026,1,1), Data!W2:W1005 = ""Loss""))),"""")"),"")</f>
        <v/>
      </c>
      <c r="Q26" s="2" t="s">
        <v>23</v>
      </c>
    </row>
    <row r="27">
      <c r="A27" s="28" t="s">
        <v>373</v>
      </c>
      <c r="B27" s="35">
        <f t="shared" ref="B27:M27" si="3">IFERROR(AVERAGE(B24:B26),"")</f>
        <v>0.01041666667</v>
      </c>
      <c r="C27" s="35">
        <f t="shared" si="3"/>
        <v>0.03044871795</v>
      </c>
      <c r="D27" s="35">
        <f t="shared" si="3"/>
        <v>0.01597222222</v>
      </c>
      <c r="E27" s="35">
        <f t="shared" si="3"/>
        <v>0.01302083333</v>
      </c>
      <c r="F27" s="35" t="str">
        <f t="shared" si="3"/>
        <v/>
      </c>
      <c r="G27" s="35" t="str">
        <f t="shared" si="3"/>
        <v/>
      </c>
      <c r="H27" s="35" t="str">
        <f t="shared" si="3"/>
        <v/>
      </c>
      <c r="I27" s="35" t="str">
        <f t="shared" si="3"/>
        <v/>
      </c>
      <c r="J27" s="35" t="str">
        <f t="shared" si="3"/>
        <v/>
      </c>
      <c r="K27" s="35" t="str">
        <f t="shared" si="3"/>
        <v/>
      </c>
      <c r="L27" s="35" t="str">
        <f t="shared" si="3"/>
        <v/>
      </c>
      <c r="M27" s="35" t="str">
        <f t="shared" si="3"/>
        <v/>
      </c>
      <c r="Q27" s="2" t="s">
        <v>382</v>
      </c>
    </row>
    <row r="31">
      <c r="B31" s="23" t="s">
        <v>383</v>
      </c>
    </row>
    <row r="32">
      <c r="B32" s="24" t="s">
        <v>361</v>
      </c>
      <c r="C32" s="24" t="s">
        <v>362</v>
      </c>
      <c r="D32" s="24" t="s">
        <v>363</v>
      </c>
      <c r="E32" s="24" t="s">
        <v>364</v>
      </c>
      <c r="F32" s="24" t="s">
        <v>365</v>
      </c>
      <c r="G32" s="24" t="s">
        <v>366</v>
      </c>
      <c r="H32" s="24" t="s">
        <v>367</v>
      </c>
      <c r="I32" s="24" t="s">
        <v>368</v>
      </c>
      <c r="J32" s="24" t="s">
        <v>369</v>
      </c>
      <c r="K32" s="24" t="s">
        <v>370</v>
      </c>
      <c r="L32" s="24" t="s">
        <v>371</v>
      </c>
      <c r="M32" s="24" t="s">
        <v>372</v>
      </c>
    </row>
    <row r="33">
      <c r="A33" s="25">
        <v>2023.0</v>
      </c>
      <c r="B33" s="33" t="str">
        <f>IFERROR(__xludf.DUMMYFUNCTION("IFERROR(ARRAYFORMULA(AVERAGE(FILTER(Data!D2:D1005 - Data!C2:C1005, Data!B2:B1005 &gt;= DATE(2023,1,1), Data!B2:B1005 &lt; DATE(2023,2,1), Data!W2:W1005 = ""Win""))),"""")"),"")</f>
        <v/>
      </c>
      <c r="C33" s="33" t="str">
        <f>IFERROR(__xludf.DUMMYFUNCTION("IFERROR(ARRAYFORMULA(AVERAGE(FILTER(Data!D2:D1005 - Data!C2:C1005, Data!B2:B1005 &gt;= DATE(2023,2,1), Data!B2:B1005 &lt; DATE(2023,3,1), Data!W2:W1005 = ""Win""))),"""")"),"")</f>
        <v/>
      </c>
      <c r="D33" s="33" t="str">
        <f>IFERROR(__xludf.DUMMYFUNCTION("IFERROR(ARRAYFORMULA(AVERAGE(FILTER(Data!D2:D1005 - Data!C2:C1005, Data!B2:B1005 &gt;= DATE(2023,3,1), Data!B2:B1005 &lt; DATE(2023,4,1), Data!W2:W1005 = ""Win""))),"""")"),"")</f>
        <v/>
      </c>
      <c r="E33" s="33" t="str">
        <f>IFERROR(__xludf.DUMMYFUNCTION("IFERROR(ARRAYFORMULA(AVERAGE(FILTER(Data!D2:D1005 - Data!C2:C1005, Data!B2:B1005 &gt;= DATE(2023,4,1), Data!B2:B1005 &lt; DATE(2023,5,1), Data!W2:W1005 = ""Win""))),"""")"),"")</f>
        <v/>
      </c>
      <c r="F33" s="33" t="str">
        <f>IFERROR(__xludf.DUMMYFUNCTION("IFERROR(ARRAYFORMULA(AVERAGE(FILTER(Data!D2:D1005 - Data!C2:C1005, Data!B2:B1005 &gt;= DATE(2023,5,1), Data!B2:B1005 &lt; DATE(2023,6,1), Data!W2:W1005 = ""Win""))),"""")"),"")</f>
        <v/>
      </c>
      <c r="G33" s="33" t="str">
        <f>IFERROR(__xludf.DUMMYFUNCTION("IFERROR(ARRAYFORMULA(AVERAGE(FILTER(Data!D2:D1005 - Data!C2:C1005, Data!B2:B1005 &gt;= DATE(2023,6,1), Data!B2:B1005 &lt; DATE(2023,7,1), Data!W2:W1005 = ""Win""))),"""")"),"")</f>
        <v/>
      </c>
      <c r="H33" s="33" t="str">
        <f>IFERROR(__xludf.DUMMYFUNCTION("IFERROR(ARRAYFORMULA(AVERAGE(FILTER(Data!D2:D1005 - Data!C2:C1005, Data!B2:B1005 &gt;= DATE(2023,7,1), Data!B2:B1005 &lt; DATE(2023,8,1), Data!W2:W1005 = ""Win""))),"""")"),"")</f>
        <v/>
      </c>
      <c r="I33" s="33" t="str">
        <f>IFERROR(__xludf.DUMMYFUNCTION("IFERROR(ARRAYFORMULA(AVERAGE(FILTER(Data!D2:D1005 - Data!C2:C1005, Data!B2:B1005 &gt;= DATE(2023,8,1), Data!B2:B1005 &lt; DATE(2023,9,1), Data!W2:W1005 = ""Win""))),"""")"),"")</f>
        <v/>
      </c>
      <c r="J33" s="33" t="str">
        <f>IFERROR(__xludf.DUMMYFUNCTION("IFERROR(ARRAYFORMULA(AVERAGE(FILTER(Data!D2:D1005 - Data!C2:C1005, Data!B2:B1005 &gt;= DATE(2023,9,1), Data!B2:B1005 &lt; DATE(2023,10,1), Data!W2:W1005 = ""Win""))),"""")"),"")</f>
        <v/>
      </c>
      <c r="K33" s="33" t="str">
        <f>IFERROR(__xludf.DUMMYFUNCTION("IFERROR(ARRAYFORMULA(AVERAGE(FILTER(Data!D2:D1005 - Data!C2:C1005, Data!B2:B1005 &gt;= DATE(2023,10,1), Data!B2:B1005 &lt; DATE(2023,11,1), Data!W2:W1005 = ""Win""))),"""")"),"")</f>
        <v/>
      </c>
      <c r="L33" s="33" t="str">
        <f>IFERROR(__xludf.DUMMYFUNCTION("IFERROR(ARRAYFORMULA(AVERAGE(FILTER(Data!D2:D1005 - Data!C2:C1005, Data!B2:B1005 &gt;= DATE(2023,11,1), Data!B2:B1005 &lt; DATE(2023,12,1), Data!W2:W1005 = ""Win""))),"""")"),"")</f>
        <v/>
      </c>
      <c r="M33" s="33" t="str">
        <f>IFERROR(__xludf.DUMMYFUNCTION("IFERROR(ARRAYFORMULA(AVERAGE(FILTER(Data!D2:D1005 - Data!C2:C1005, Data!B2:B1005 &gt;= DATE(2023,12,1), Data!B2:B1005 &lt; DATE(2024,1,1), Data!W2:W1005 = ""Win""))),"""")"),"")</f>
        <v/>
      </c>
    </row>
    <row r="34">
      <c r="A34" s="25">
        <v>2024.0</v>
      </c>
      <c r="B34" s="33" t="str">
        <f>IFERROR(__xludf.DUMMYFUNCTION("IFERROR(ARRAYFORMULA(AVERAGE(FILTER(Data!D2:D1005 - Data!C2:C1005, Data!B2:B1005 &gt;= DATE(2024,1,1), Data!B2:B1005 &lt; DATE(2024,2,1), Data!W2:W1005 = ""Win""))),"""")"),"")</f>
        <v/>
      </c>
      <c r="C34" s="33" t="str">
        <f>IFERROR(__xludf.DUMMYFUNCTION("IFERROR(ARRAYFORMULA(AVERAGE(FILTER(Data!D2:D1005 - Data!C2:C1005, Data!B2:B1005 &gt;= DATE(2024,2,1), Data!B2:B1005 &lt; DATE(2024,3,1), Data!W2:W1005 = ""Win""))),"""")"),"")</f>
        <v/>
      </c>
      <c r="D34" s="33" t="str">
        <f>IFERROR(__xludf.DUMMYFUNCTION("IFERROR(ARRAYFORMULA(AVERAGE(FILTER(Data!D2:D1005 - Data!C2:C1005, Data!B2:B1005 &gt;= DATE(2024,3,1), Data!B2:B1005 &lt; DATE(2024,4,1), Data!W2:W1005 = ""Win""))),"""")"),"")</f>
        <v/>
      </c>
      <c r="E34" s="33" t="str">
        <f>IFERROR(__xludf.DUMMYFUNCTION("IFERROR(ARRAYFORMULA(AVERAGE(FILTER(Data!D2:D1005 - Data!C2:C1005, Data!B2:B1005 &gt;= DATE(2024,4,1), Data!B2:B1005 &lt; DATE(2024,5,1), Data!W2:W1005 = ""Win""))),"""")"),"")</f>
        <v/>
      </c>
      <c r="F34" s="33" t="str">
        <f>IFERROR(__xludf.DUMMYFUNCTION("IFERROR(ARRAYFORMULA(AVERAGE(FILTER(Data!D2:D1005 - Data!C2:C1005, Data!B2:B1005 &gt;= DATE(2024,5,1), Data!B2:B1005 &lt; DATE(2024,6,1), Data!W2:W1005 = ""Win""))),"""")"),"")</f>
        <v/>
      </c>
      <c r="G34" s="33" t="str">
        <f>IFERROR(__xludf.DUMMYFUNCTION("IFERROR(ARRAYFORMULA(AVERAGE(FILTER(Data!D2:D1005 - Data!C2:C1005, Data!B2:B1005 &gt;= DATE(2024,6,1), Data!B2:B1005 &lt; DATE(2024,7,1), Data!W2:W1005 = ""Win""))),"""")"),"")</f>
        <v/>
      </c>
      <c r="H34" s="33" t="str">
        <f>IFERROR(__xludf.DUMMYFUNCTION("IFERROR(ARRAYFORMULA(AVERAGE(FILTER(Data!D2:D1005 - Data!C2:C1005, Data!B2:B1005 &gt;= DATE(2024,7,1), Data!B2:B1005 &lt; DATE(2024,8,1), Data!W2:W1005 = ""Win""))),"""")"),"")</f>
        <v/>
      </c>
      <c r="I34" s="33" t="str">
        <f>IFERROR(__xludf.DUMMYFUNCTION("IFERROR(ARRAYFORMULA(AVERAGE(FILTER(Data!D2:D1005 - Data!C2:C1005, Data!B2:B1005 &gt;= DATE(2024,8,1), Data!B2:B1005 &lt; DATE(2024,9,1), Data!W2:W1005 = ""Win""))),"""")"),"")</f>
        <v/>
      </c>
      <c r="J34" s="33" t="str">
        <f>IFERROR(__xludf.DUMMYFUNCTION("IFERROR(ARRAYFORMULA(AVERAGE(FILTER(Data!D2:D1005 - Data!C2:C1005, Data!B2:B1005 &gt;= DATE(2024,9,1), Data!B2:B1005 &lt; DATE(2024,10,1), Data!W2:W1005 = ""Win""))),"""")"),"")</f>
        <v/>
      </c>
      <c r="K34" s="33" t="str">
        <f>IFERROR(__xludf.DUMMYFUNCTION("IFERROR(ARRAYFORMULA(AVERAGE(FILTER(Data!D2:D1005 - Data!C2:C1005, Data!B2:B1005 &gt;= DATE(2024,10,1), Data!B2:B1005 &lt; DATE(2024,11,1), Data!W2:W1005 = ""Win""))),"""")"),"")</f>
        <v/>
      </c>
      <c r="L34" s="33" t="str">
        <f>IFERROR(__xludf.DUMMYFUNCTION("IFERROR(ARRAYFORMULA(AVERAGE(FILTER(Data!D2:D1005 - Data!C2:C1005, Data!B2:B1005 &gt;= DATE(2024,11,1), Data!B2:B1005 &lt; DATE(2024,12,1), Data!W2:W1005 = ""Win""))),"""")"),"")</f>
        <v/>
      </c>
      <c r="M34" s="34" t="str">
        <f>IFERROR(__xludf.DUMMYFUNCTION("IFERROR(ARRAYFORMULA(AVERAGE(FILTER(Data!D2:D1005 - Data!C2:C1005, Data!B2:B1005 &gt;= DATE(2024,12,1), Data!B2:B1005 &lt; DATE(2025,1,1), Data!W2:W1005 = ""Win""))),"""")"),"")</f>
        <v/>
      </c>
    </row>
    <row r="35">
      <c r="A35" s="25">
        <v>2025.0</v>
      </c>
      <c r="B35" s="33">
        <f>IFERROR(__xludf.DUMMYFUNCTION("IFERROR(ARRAYFORMULA(AVERAGE(FILTER(Data!D2:D1005 - Data!C2:C1005, Data!B2:B1005 &gt;= DATE(2025,1,1), Data!B2:B1005 &lt; DATE(2025,2,1), Data!W2:W1005 = ""Win""))),"""")"),0.01822916666666667)</f>
        <v>0.01822916667</v>
      </c>
      <c r="C35" s="33">
        <f>IFERROR(__xludf.DUMMYFUNCTION("IFERROR(ARRAYFORMULA(AVERAGE(FILTER(Data!D2:D1005 - Data!C2:C1005, Data!B2:B1005 &gt;= DATE(2025,2,1), Data!B2:B1005 &lt; DATE(2025,3,1), Data!W2:W1005 = ""Win""))),"""")"),0.020254629629629636)</f>
        <v>0.02025462963</v>
      </c>
      <c r="D35" s="33">
        <f>IFERROR(__xludf.DUMMYFUNCTION("IFERROR(ARRAYFORMULA(AVERAGE(FILTER(Data!D2:D1005 - Data!C2:C1005, Data!B2:B1005 &gt;= DATE(2025,3,1), Data!B2:B1005 &lt; DATE(2025,4,1), Data!W2:W1005 = ""Win""))),"""")"),0.015972222222222214)</f>
        <v>0.01597222222</v>
      </c>
      <c r="E35" s="33">
        <f>IFERROR(__xludf.DUMMYFUNCTION("IFERROR(ARRAYFORMULA(AVERAGE(FILTER(Data!D2:D1005 - Data!C2:C1005, Data!B2:B1005 &gt;= DATE(2025,4,1), Data!B2:B1005 &lt; DATE(2025,5,1), Data!W2:W1005 = ""Win""))),"""")"),0.01909722222222221)</f>
        <v>0.01909722222</v>
      </c>
      <c r="F35" s="33" t="str">
        <f>IFERROR(__xludf.DUMMYFUNCTION("IFERROR(ARRAYFORMULA(AVERAGE(FILTER(Data!D2:D1005 - Data!C2:C1005, Data!B2:B1005 &gt;= DATE(2025,5,1), Data!B2:B1005 &lt; DATE(2025,6,1), Data!W2:W1005 = ""Win""))),"""")"),"")</f>
        <v/>
      </c>
      <c r="G35" s="33" t="str">
        <f>IFERROR(__xludf.DUMMYFUNCTION("IFERROR(ARRAYFORMULA(AVERAGE(FILTER(Data!D2:D1005 - Data!C2:C1005, Data!B2:B1005 &gt;= DATE(2025,6,1), Data!B2:B1005 &lt; DATE(2025,7,1), Data!W2:W1005 = ""Win""))),"""")"),"")</f>
        <v/>
      </c>
      <c r="H35" s="33" t="str">
        <f>IFERROR(__xludf.DUMMYFUNCTION("IFERROR(ARRAYFORMULA(AVERAGE(FILTER(Data!D2:D1005 - Data!C2:C1005, Data!B2:B1005 &gt;= DATE(2025,7,1), Data!B2:B1005 &lt; DATE(2025,8,1), Data!W2:W1005 = ""Win""))),"""")"),"")</f>
        <v/>
      </c>
      <c r="I35" s="33" t="str">
        <f>IFERROR(__xludf.DUMMYFUNCTION("IFERROR(ARRAYFORMULA(AVERAGE(FILTER(Data!D2:D1005 - Data!C2:C1005, Data!B2:B1005 &gt;= DATE(2025,8,1), Data!B2:B1005 &lt; DATE(2025,9,1), Data!W2:W1005 = ""Win""))),"""")"),"")</f>
        <v/>
      </c>
      <c r="J35" s="33" t="str">
        <f>IFERROR(__xludf.DUMMYFUNCTION("IFERROR(ARRAYFORMULA(AVERAGE(FILTER(Data!D2:D1005 - Data!C2:C1005, Data!B2:B1005 &gt;= DATE(2025,9,1), Data!B2:B1005 &lt; DATE(2025,10,1), Data!W2:W1005 = ""Win""))),"""")"),"")</f>
        <v/>
      </c>
      <c r="K35" s="33" t="str">
        <f>IFERROR(__xludf.DUMMYFUNCTION("IFERROR(ARRAYFORMULA(AVERAGE(FILTER(Data!D2:D1005 - Data!C2:C1005, Data!B2:B1005 &gt;= DATE(2025,10,1), Data!B2:B1005 &lt; DATE(2025,11,1), Data!W2:W1005 = ""Win""))),"""")"),"")</f>
        <v/>
      </c>
      <c r="L35" s="33" t="str">
        <f>IFERROR(__xludf.DUMMYFUNCTION("IFERROR(ARRAYFORMULA(AVERAGE(FILTER(Data!D2:D1005 - Data!C2:C1005, Data!B2:B1005 &gt;= DATE(2025,11,1), Data!B2:B1005 &lt; DATE(2025,12,1), Data!W2:W1005 = ""Win""))),"""")"),"")</f>
        <v/>
      </c>
      <c r="M35" s="34" t="str">
        <f>IFERROR(__xludf.DUMMYFUNCTION("IFERROR(ARRAYFORMULA(AVERAGE(FILTER(Data!D2:D1005 - Data!C2:C1005, Data!B2:B1005 &gt;= DATE(2025,12,1), Data!B2:B1005 &lt; DATE(2026,1,1), Data!W2:W1005 = ""Win""))),"""")"),"")</f>
        <v/>
      </c>
    </row>
    <row r="36">
      <c r="A36" s="28" t="s">
        <v>373</v>
      </c>
      <c r="B36" s="35">
        <f t="shared" ref="B36:M36" si="4">IFERROR(AVERAGE(B33:B35),"")</f>
        <v>0.01822916667</v>
      </c>
      <c r="C36" s="35">
        <f t="shared" si="4"/>
        <v>0.02025462963</v>
      </c>
      <c r="D36" s="35">
        <f t="shared" si="4"/>
        <v>0.01597222222</v>
      </c>
      <c r="E36" s="35">
        <f t="shared" si="4"/>
        <v>0.01909722222</v>
      </c>
      <c r="F36" s="35" t="str">
        <f t="shared" si="4"/>
        <v/>
      </c>
      <c r="G36" s="35" t="str">
        <f t="shared" si="4"/>
        <v/>
      </c>
      <c r="H36" s="35" t="str">
        <f t="shared" si="4"/>
        <v/>
      </c>
      <c r="I36" s="35" t="str">
        <f t="shared" si="4"/>
        <v/>
      </c>
      <c r="J36" s="35" t="str">
        <f t="shared" si="4"/>
        <v/>
      </c>
      <c r="K36" s="35" t="str">
        <f t="shared" si="4"/>
        <v/>
      </c>
      <c r="L36" s="35" t="str">
        <f t="shared" si="4"/>
        <v/>
      </c>
      <c r="M36" s="35" t="str">
        <f t="shared" si="4"/>
        <v/>
      </c>
    </row>
    <row r="40">
      <c r="B40" s="23" t="s">
        <v>384</v>
      </c>
    </row>
    <row r="41">
      <c r="B41" s="24" t="s">
        <v>361</v>
      </c>
      <c r="C41" s="24" t="s">
        <v>362</v>
      </c>
      <c r="D41" s="24" t="s">
        <v>363</v>
      </c>
      <c r="E41" s="24" t="s">
        <v>364</v>
      </c>
      <c r="F41" s="24" t="s">
        <v>365</v>
      </c>
      <c r="G41" s="24" t="s">
        <v>366</v>
      </c>
      <c r="H41" s="24" t="s">
        <v>367</v>
      </c>
      <c r="I41" s="24" t="s">
        <v>368</v>
      </c>
      <c r="J41" s="24" t="s">
        <v>369</v>
      </c>
      <c r="K41" s="24" t="s">
        <v>370</v>
      </c>
      <c r="L41" s="24" t="s">
        <v>371</v>
      </c>
      <c r="M41" s="24" t="s">
        <v>372</v>
      </c>
    </row>
    <row r="42">
      <c r="A42" s="25">
        <v>2023.0</v>
      </c>
      <c r="B42" s="36">
        <f>MAXIFS(Data!Y2:Y1005, Data!B2:B1005, "&gt;="&amp;DATE(2023,1,1), Data!B2:B1005, "&lt;"&amp;DATE(2023,2,1))</f>
        <v>0</v>
      </c>
      <c r="C42" s="36">
        <f>MAXIFS(Data!Y2:Y1005, Data!B2:B1005, "&gt;="&amp;DATE(2023,2,1), Data!B2:B1005, "&lt;"&amp;DATE(2023,3,1))</f>
        <v>0</v>
      </c>
      <c r="D42" s="36">
        <f>MAXIFS(Data!Y2:Y1005, Data!B2:B1005, "&gt;="&amp;DATE(2023,3,1), Data!B2:B1005, "&lt;"&amp;DATE(2023,4,1))</f>
        <v>0</v>
      </c>
      <c r="E42" s="36">
        <f>MAXIFS(Data!Y2:Y1005, Data!B2:B1005, "&gt;="&amp;DATE(2023,4,1), Data!B2:B1005, "&lt;"&amp;DATE(2023,5,1))</f>
        <v>0</v>
      </c>
      <c r="F42" s="36">
        <f>MAXIFS(Data!Y2:Y1005, Data!B2:B1005, "&gt;="&amp;DATE(2023,5,1), Data!B2:B1005, "&lt;"&amp;DATE(2023,6,1))</f>
        <v>0</v>
      </c>
      <c r="G42" s="36">
        <f>MAXIFS(Data!Y2:Y1005, Data!B2:B1005, "&gt;="&amp;DATE(2023,6,1), Data!B2:B1005, "&lt;"&amp;DATE(2023,7,1))</f>
        <v>0</v>
      </c>
      <c r="H42" s="36">
        <f>MAXIFS(Data!Y2:Y1005, Data!B2:B1005, "&gt;="&amp;DATE(2023,7,1), Data!B2:B1005, "&lt;"&amp;DATE(2023,8,1))</f>
        <v>0</v>
      </c>
      <c r="I42" s="36">
        <f>MAXIFS(Data!Y2:Y1005, Data!B2:B1005, "&gt;="&amp;DATE(2023,8,1), Data!B2:B1005, "&lt;"&amp;DATE(2023,9,1))</f>
        <v>0</v>
      </c>
      <c r="J42" s="36">
        <f>MAXIFS(Data!Y2:Y1005, Data!B2:B1005, "&gt;="&amp;DATE(2023,9,1), Data!B2:B1005, "&lt;"&amp;DATE(2023,10,1))</f>
        <v>0</v>
      </c>
      <c r="K42" s="36">
        <f>MAXIFS(Data!Y2:Y1005, Data!B2:B1005, "&gt;="&amp;DATE(2023,10,1), Data!B2:B1005, "&lt;"&amp;DATE(2023,11,1))</f>
        <v>0</v>
      </c>
      <c r="L42" s="36">
        <f>MAXIFS(Data!Y2:Y1005, Data!B2:B1005, "&gt;="&amp;DATE(2023,11,1), Data!B2:B1005, "&lt;"&amp;DATE(2023,12,1))</f>
        <v>0</v>
      </c>
      <c r="M42" s="36">
        <f>MAXIFS(Data!Y2:Y1005, Data!B2:B1005, "&gt;="&amp;DATE(2023,12,1), Data!B2:B1005, "&lt;"&amp;DATE(2024,1,1))</f>
        <v>0</v>
      </c>
    </row>
    <row r="43">
      <c r="A43" s="25">
        <v>2024.0</v>
      </c>
      <c r="B43" s="36">
        <f>MAXIFS(Data!Y2:Y1005, Data!B2:B1005, "&gt;="&amp;DATE(2024,1,1), Data!B2:B1005, "&lt;"&amp;DATE(2024,2,1))</f>
        <v>0</v>
      </c>
      <c r="C43" s="36">
        <f>MAXIFS(Data!Y2:Y1005, Data!B2:B1005, "&gt;="&amp;DATE(2024,2,1), Data!B2:B1005, "&lt;"&amp;DATE(2024,3,1))</f>
        <v>0</v>
      </c>
      <c r="D43" s="36">
        <f>MAXIFS(Data!Y2:Y1005, Data!B2:B1005, "&gt;="&amp;DATE(2024,3,1), Data!B2:B1005, "&lt;"&amp;DATE(2024,4,1))</f>
        <v>0</v>
      </c>
      <c r="E43" s="36">
        <f>MAXIFS(Data!Y2:Y1005, Data!B2:B1005, "&gt;="&amp;DATE(2024,4,1), Data!B2:B1005, "&lt;"&amp;DATE(2024,5,1))</f>
        <v>0</v>
      </c>
      <c r="F43" s="36">
        <f>MAXIFS(Data!Y2:Y1005, Data!B2:B1005, "&gt;="&amp;DATE(2024,5,1), Data!B2:B1005, "&lt;"&amp;DATE(2024,6,1))</f>
        <v>0</v>
      </c>
      <c r="G43" s="36">
        <f>MAXIFS(Data!Y2:Y1005, Data!B2:B1005, "&gt;="&amp;DATE(2024,6,1), Data!B2:B1005, "&lt;"&amp;DATE(2024,7,1))</f>
        <v>0</v>
      </c>
      <c r="H43" s="36">
        <f>MAXIFS(Data!Y2:Y1005, Data!B2:B1005, "&gt;="&amp;DATE(2024,7,1), Data!B2:B1005, "&lt;"&amp;DATE(2024,8,1))</f>
        <v>0</v>
      </c>
      <c r="I43" s="36">
        <f>MAXIFS(Data!Y2:Y1005, Data!B2:B1005, "&gt;="&amp;DATE(2024,8,1), Data!B2:B1005, "&lt;"&amp;DATE(2024,9,1))</f>
        <v>0</v>
      </c>
      <c r="J43" s="36">
        <f>MAXIFS(Data!Y2:Y1005, Data!B2:B1005, "&gt;="&amp;DATE(2024,9,1), Data!B2:B1005, "&lt;"&amp;DATE(2024,10,1))</f>
        <v>0</v>
      </c>
      <c r="K43" s="36">
        <f>MAXIFS(Data!Y2:Y1005, Data!B2:B1005, "&gt;="&amp;DATE(2024,10,1), Data!B2:B1005, "&lt;"&amp;DATE(2024,11,1))</f>
        <v>0</v>
      </c>
      <c r="L43" s="36">
        <f>MAXIFS(Data!Y2:Y1005, Data!B2:B1005, "&gt;="&amp;DATE(2024,11,1), Data!B2:B1005, "&lt;"&amp;DATE(2024,12,1))</f>
        <v>0</v>
      </c>
      <c r="M43" s="37">
        <f>MAXIFS(Data!Y2:Y1005, Data!B2:B1005, "&gt;="&amp;DATE(2024,12,1), Data!B2:B1005, "&lt;"&amp;DATE(2025,1,1))</f>
        <v>0</v>
      </c>
    </row>
    <row r="44">
      <c r="A44" s="25">
        <v>2025.0</v>
      </c>
      <c r="B44" s="36">
        <f>MAXIFS(Data!Y2:Y1005, Data!B2:B1005, "&gt;="&amp;DATE(2025,1,1), Data!B2:B1005, "&lt;"&amp;DATE(2025,2,1))</f>
        <v>17.7</v>
      </c>
      <c r="C44" s="36">
        <f>MAXIFS(Data!Y2:Y1005, Data!B2:B1005, "&gt;="&amp;DATE(2025,2,1), Data!B2:B1005, "&lt;"&amp;DATE(2025,3,1))</f>
        <v>29.1</v>
      </c>
      <c r="D44" s="36">
        <f>MAXIFS(Data!Y2:Y1005, Data!B2:B1005, "&gt;="&amp;DATE(2025,3,1), Data!B2:B1005, "&lt;"&amp;DATE(2025,4,1))</f>
        <v>30.1</v>
      </c>
      <c r="E44" s="36">
        <f>MAXIFS(Data!Y2:Y1005, Data!B2:B1005, "&gt;="&amp;DATE(2025,4,1), Data!B2:B1005, "&lt;"&amp;DATE(2025,5,1))</f>
        <v>51.6</v>
      </c>
      <c r="F44" s="36">
        <f>MAXIFS(Data!Y2:Y1005, Data!B2:B1005, "&gt;="&amp;DATE(2025,5,1), Data!B2:B1005, "&lt;"&amp;DATE(2025,6,1))</f>
        <v>0</v>
      </c>
      <c r="G44" s="36">
        <f>MAXIFS(Data!Y2:Y1005, Data!B2:B1005, "&gt;="&amp;DATE(2025,6,1), Data!B2:B1005, "&lt;"&amp;DATE(2025,7,1))</f>
        <v>0</v>
      </c>
      <c r="H44" s="36">
        <f>MAXIFS(Data!Y2:Y1005, Data!B2:B1005, "&gt;="&amp;DATE(2025,7,1), Data!B2:B1005, "&lt;"&amp;DATE(2025,8,1))</f>
        <v>0</v>
      </c>
      <c r="I44" s="36">
        <f>MAXIFS(Data!Y2:Y1005, Data!B2:B1005, "&gt;="&amp;DATE(2025,8,1), Data!B2:B1005, "&lt;"&amp;DATE(2025,9,1))</f>
        <v>0</v>
      </c>
      <c r="J44" s="36">
        <f>MAXIFS(Data!Y2:Y1005, Data!B2:B1005, "&gt;="&amp;DATE(2025,9,1), Data!B2:B1005, "&lt;"&amp;DATE(2025,10,1))</f>
        <v>0</v>
      </c>
      <c r="K44" s="36">
        <f>MAXIFS(Data!Y2:Y1005, Data!B2:B1005, "&gt;="&amp;DATE(2025,10,1), Data!B2:B1005, "&lt;"&amp;DATE(2025,11,1))</f>
        <v>0</v>
      </c>
      <c r="L44" s="36">
        <f>MAXIFS(Data!Y2:Y1005, Data!B2:B1005, "&gt;="&amp;DATE(2025,11,1), Data!B2:B1005, "&lt;"&amp;DATE(2025,12,1))</f>
        <v>0</v>
      </c>
      <c r="M44" s="37">
        <f>MAXIFS(Data!Y2:Y1005, Data!B2:B1005, "&gt;="&amp;DATE(2025,12,1), Data!B2:B1005, "&lt;"&amp;DATE(2026,1,1))</f>
        <v>0</v>
      </c>
    </row>
    <row r="45">
      <c r="A45" s="28" t="s">
        <v>385</v>
      </c>
      <c r="B45" s="38">
        <f t="shared" ref="B45:M45" si="5">MAX(B43:B44)</f>
        <v>17.7</v>
      </c>
      <c r="C45" s="38">
        <f t="shared" si="5"/>
        <v>29.1</v>
      </c>
      <c r="D45" s="38">
        <f t="shared" si="5"/>
        <v>30.1</v>
      </c>
      <c r="E45" s="38">
        <f t="shared" si="5"/>
        <v>51.6</v>
      </c>
      <c r="F45" s="38">
        <f t="shared" si="5"/>
        <v>0</v>
      </c>
      <c r="G45" s="38">
        <f t="shared" si="5"/>
        <v>0</v>
      </c>
      <c r="H45" s="38">
        <f t="shared" si="5"/>
        <v>0</v>
      </c>
      <c r="I45" s="38">
        <f t="shared" si="5"/>
        <v>0</v>
      </c>
      <c r="J45" s="38">
        <f t="shared" si="5"/>
        <v>0</v>
      </c>
      <c r="K45" s="38">
        <f t="shared" si="5"/>
        <v>0</v>
      </c>
      <c r="L45" s="38">
        <f t="shared" si="5"/>
        <v>0</v>
      </c>
      <c r="M45" s="38">
        <f t="shared" si="5"/>
        <v>0</v>
      </c>
    </row>
    <row r="49">
      <c r="B49" s="23" t="s">
        <v>386</v>
      </c>
    </row>
    <row r="50">
      <c r="B50" s="24" t="s">
        <v>361</v>
      </c>
      <c r="C50" s="24" t="s">
        <v>362</v>
      </c>
      <c r="D50" s="24" t="s">
        <v>363</v>
      </c>
      <c r="E50" s="24" t="s">
        <v>364</v>
      </c>
      <c r="F50" s="24" t="s">
        <v>365</v>
      </c>
      <c r="G50" s="24" t="s">
        <v>366</v>
      </c>
      <c r="H50" s="24" t="s">
        <v>367</v>
      </c>
      <c r="I50" s="24" t="s">
        <v>368</v>
      </c>
      <c r="J50" s="24" t="s">
        <v>369</v>
      </c>
      <c r="K50" s="24" t="s">
        <v>370</v>
      </c>
      <c r="L50" s="24" t="s">
        <v>371</v>
      </c>
      <c r="M50" s="24" t="s">
        <v>372</v>
      </c>
    </row>
    <row r="51">
      <c r="A51" s="25">
        <v>2023.0</v>
      </c>
      <c r="B51" s="39">
        <f>MINIFS(Data!Z2:Z1005, Data!W2:W1005, "Win", Data!B2:B1005, "&gt;="&amp;DATE(2023,1,1), Data!B2:B1005, "&lt;"&amp;DATE(2023,2,1))
</f>
        <v>0</v>
      </c>
      <c r="C51" s="39">
        <f>MINIFS(Data!Z2:Z1005, Data!W2:W1005, "Win", Data!B2:B1005, "&gt;="&amp;DATE(2023,2,1), Data!B2:B1005, "&lt;"&amp;DATE(2023,3,1))</f>
        <v>0</v>
      </c>
      <c r="D51" s="39">
        <f>MINIFS(Data!Z2:Z1005, Data!W2:W1005, "Win", Data!B2:B1005, "&gt;="&amp;DATE(2023,3,1), Data!B2:B1005, "&lt;"&amp;DATE(2023,4,1))</f>
        <v>0</v>
      </c>
      <c r="E51" s="39">
        <f>MINIFS(Data!Z2:Z1005, Data!W2:W1005, "Win", Data!B2:B1005, "&gt;="&amp;DATE(2023,4,1), Data!B2:B1005, "&lt;"&amp;DATE(2023,5,1))</f>
        <v>0</v>
      </c>
      <c r="F51" s="39">
        <f>MINIFS(Data!Z2:Z1005, Data!W2:W1005, "Win", Data!B2:B1005, "&gt;="&amp;DATE(2023,5,1), Data!B2:B1005, "&lt;"&amp;DATE(2023,6,1))</f>
        <v>0</v>
      </c>
      <c r="G51" s="39">
        <f>MINIFS(Data!Z2:Z1005, Data!W2:W1005, "Win", Data!B2:B1005, "&gt;="&amp;DATE(2023,6,1), Data!B2:B1005, "&lt;"&amp;DATE(2023,7,1))</f>
        <v>0</v>
      </c>
      <c r="H51" s="39">
        <f>MINIFS(Data!Z2:Z1005, Data!W2:W1005, "Win", Data!B2:B1005, "&gt;="&amp;DATE(2023,7,1), Data!B2:B1005, "&lt;"&amp;DATE(2023,8,1))</f>
        <v>0</v>
      </c>
      <c r="I51" s="39">
        <f>MINIFS(Data!Z2:Z1005, Data!W2:W1005, "Win", Data!B2:B1005, "&gt;="&amp;DATE(2023,8,1), Data!B2:B1005, "&lt;"&amp;DATE(2023,9,1))</f>
        <v>0</v>
      </c>
      <c r="J51" s="39">
        <f>MINIFS(Data!Z2:Z1005, Data!W2:W1005, "Win", Data!B2:B1005, "&gt;="&amp;DATE(2023,9,1), Data!B2:B1005, "&lt;"&amp;DATE(2023,10,1))</f>
        <v>0</v>
      </c>
      <c r="K51" s="39">
        <f>MINIFS(Data!Z2:Z1005, Data!W2:W1005, "Win", Data!B2:B1005, "&gt;="&amp;DATE(2023,10,1), Data!B2:B1005, "&lt;"&amp;DATE(2023,11,1))</f>
        <v>0</v>
      </c>
      <c r="L51" s="39">
        <f>MINIFS(Data!Z2:Z1005, Data!W2:W1005, "Win", Data!B2:B1005, "&gt;="&amp;DATE(2023,11,1), Data!B2:B1005, "&lt;"&amp;DATE(2023,12,1))</f>
        <v>0</v>
      </c>
      <c r="M51" s="39">
        <f>MINIFS(Data!Z2:Z1005, Data!W2:W1005, "Win", Data!B2:B1005, "&gt;="&amp;DATE(2023,12,1), Data!B2:B1005, "&lt;"&amp;DATE(2024,1,1))</f>
        <v>0</v>
      </c>
    </row>
    <row r="52">
      <c r="A52" s="25">
        <v>2024.0</v>
      </c>
      <c r="B52" s="39">
        <f>MINIFS(Data!Z2:Z1005, Data!W2:W1005, "Win", Data!B2:B1005, "&gt;="&amp;DATE(2024,1,1), Data!B2:B1005, "&lt;"&amp;DATE(2024,2,1))
</f>
        <v>0</v>
      </c>
      <c r="C52" s="39">
        <f>MINIFS(Data!Z2:Z1005, Data!W2:W1005, "Win", Data!B2:B1005, "&gt;="&amp;DATE(2024,2,1), Data!B2:B1005, "&lt;"&amp;DATE(2024,3,1))</f>
        <v>0</v>
      </c>
      <c r="D52" s="39">
        <f>MINIFS(Data!Z2:Z1005, Data!W2:W1005, "Win", Data!B2:B1005, "&gt;="&amp;DATE(2024,3,1), Data!B2:B1005, "&lt;"&amp;DATE(2024,4,1))</f>
        <v>0</v>
      </c>
      <c r="E52" s="39">
        <f>MINIFS(Data!Z2:Z1005, Data!W2:W1005, "Win", Data!B2:B1005, "&gt;="&amp;DATE(2024,4,1), Data!B2:B1005, "&lt;"&amp;DATE(2024,5,1))</f>
        <v>0</v>
      </c>
      <c r="F52" s="39">
        <f>MINIFS(Data!Z2:Z1005, Data!W2:W1005, "Win", Data!B2:B1005, "&gt;="&amp;DATE(2024,5,1), Data!B2:B1005, "&lt;"&amp;DATE(2024,6,1))</f>
        <v>0</v>
      </c>
      <c r="G52" s="39">
        <f>MINIFS(Data!Z2:Z1005, Data!W2:W1005, "Win", Data!B2:B1005, "&gt;="&amp;DATE(2024,6,1), Data!B2:B1005, "&lt;"&amp;DATE(2024,7,1))</f>
        <v>0</v>
      </c>
      <c r="H52" s="39">
        <f>MINIFS(Data!Z2:Z1005, Data!W2:W1005, "Win", Data!B2:B1005, "&gt;="&amp;DATE(2024,7,1), Data!B2:B1005, "&lt;"&amp;DATE(2024,8,1))</f>
        <v>0</v>
      </c>
      <c r="I52" s="39">
        <f>MINIFS(Data!Z2:Z1005, Data!W2:W1005, "Win", Data!B2:B1005, "&gt;="&amp;DATE(2024,8,1), Data!B2:B1005, "&lt;"&amp;DATE(2024,9,1))</f>
        <v>0</v>
      </c>
      <c r="J52" s="39">
        <f>MINIFS(Data!Z2:Z1005, Data!W2:W1005, "Win", Data!B2:B1005, "&gt;="&amp;DATE(2024,9,1), Data!B2:B1005, "&lt;"&amp;DATE(2024,10,1))</f>
        <v>0</v>
      </c>
      <c r="K52" s="39">
        <f>MINIFS(Data!Z2:Z1005, Data!W2:W1005, "Win", Data!B2:B1005, "&gt;="&amp;DATE(2024,10,1), Data!B2:B1005, "&lt;"&amp;DATE(2024,11,1))</f>
        <v>0</v>
      </c>
      <c r="L52" s="39">
        <f>MINIFS(Data!Z2:Z1005, Data!W2:W1005, "Win", Data!B2:B1005, "&gt;="&amp;DATE(2024,11,1), Data!B2:B1005, "&lt;"&amp;DATE(2024,12,1))</f>
        <v>0</v>
      </c>
      <c r="M52" s="40">
        <f>MINIFS(Data!Z2:Z1005, Data!W2:W1005, "Win", Data!B2:B1005, "&gt;="&amp;DATE(2024,12,1), Data!B2:B1005, "&lt;"&amp;DATE(2025,1,1))</f>
        <v>0</v>
      </c>
    </row>
    <row r="53">
      <c r="A53" s="25">
        <v>2025.0</v>
      </c>
      <c r="B53" s="39">
        <f>MINIFS(Data!Z2:Z1005, Data!W2:W1005, "Win", Data!B2:B1005, "&gt;="&amp;DATE(2025,1,1), Data!B2:B1005, "&lt;"&amp;DATE(2025,2,1))
</f>
        <v>1.26</v>
      </c>
      <c r="C53" s="39">
        <f>MINIFS(Data!Z2:Z1005, Data!W2:W1005, "Win", Data!B2:B1005, "&gt;="&amp;DATE(2025,2,1), Data!B2:B1005, "&lt;"&amp;DATE(2025,3,1))
</f>
        <v>1.15</v>
      </c>
      <c r="D53" s="39">
        <f>MINIFS(Data!Z2:Z1005, Data!W2:W1005, "Win", Data!B2:B1005, "&gt;="&amp;DATE(2025,3,1), Data!B2:B1005, "&lt;"&amp;DATE(2025,4,1))</f>
        <v>1.05</v>
      </c>
      <c r="E53" s="39">
        <f>MINIFS(Data!Z2:Z1005, Data!W2:W1005, "Win", Data!B2:B1005, "&gt;="&amp;DATE(2025,4,1), Data!B2:B1005, "&lt;"&amp;DATE(2025,5,1))</f>
        <v>1.52</v>
      </c>
      <c r="F53" s="39">
        <f>MINIFS(Data!Z2:Z1005, Data!W2:W1005, "Win", Data!B2:B1005, "&gt;="&amp;DATE(2025,5,1), Data!B2:B1005, "&lt;"&amp;DATE(2025,6,1))</f>
        <v>0</v>
      </c>
      <c r="G53" s="39">
        <f>MINIFS(Data!Z2:Z1005, Data!W2:W1005, "Win", Data!B2:B1005, "&gt;="&amp;DATE(2025,6,1), Data!B2:B1005, "&lt;"&amp;DATE(2025,7,1))</f>
        <v>0</v>
      </c>
      <c r="H53" s="39">
        <f>MINIFS(Data!Z2:Z1005, Data!W2:W1005, "Win", Data!B2:B1005, "&gt;="&amp;DATE(2025,7,1), Data!B2:B1005, "&lt;"&amp;DATE(2025,8,1))</f>
        <v>0</v>
      </c>
      <c r="I53" s="39">
        <f>MINIFS(Data!Z2:Z1005, Data!W2:W1005, "Win", Data!B2:B1005, "&gt;="&amp;DATE(2025,8,1), Data!B2:B1005, "&lt;"&amp;DATE(2025,9,1))</f>
        <v>0</v>
      </c>
      <c r="J53" s="39">
        <f>MINIFS(Data!Z2:Z1005, Data!W2:W1005, "Win", Data!B2:B1005, "&gt;="&amp;DATE(2025,9,1), Data!B2:B1005, "&lt;"&amp;DATE(2025,10,1))</f>
        <v>0</v>
      </c>
      <c r="K53" s="39">
        <f>MINIFS(Data!Z2:Z1005, Data!W2:W1005, "Win", Data!B2:B1005, "&gt;="&amp;DATE(2025,10,1), Data!B2:B1005, "&lt;"&amp;DATE(2025,11,1))</f>
        <v>0</v>
      </c>
      <c r="L53" s="39">
        <f>MINIFS(Data!Z2:Z1005, Data!W2:W1005, "Win", Data!B2:B1005, "&gt;="&amp;DATE(2025,11,1), Data!B2:B1005, "&lt;"&amp;DATE(2025,12,1))</f>
        <v>0</v>
      </c>
      <c r="M53" s="40">
        <f>MINIFS(Data!Z2:Z1005, Data!W2:W1005, "Win", Data!B2:B1005, "&gt;="&amp;DATE(2025,12,1), Data!B2:B1005, "&lt;"&amp;DATE(2026,1,1))</f>
        <v>0</v>
      </c>
    </row>
    <row r="54">
      <c r="A54" s="28" t="s">
        <v>385</v>
      </c>
      <c r="B54" s="41">
        <f t="shared" ref="B54:M54" si="6">MAX(B52:B53)</f>
        <v>1.26</v>
      </c>
      <c r="C54" s="41">
        <f t="shared" si="6"/>
        <v>1.15</v>
      </c>
      <c r="D54" s="41">
        <f t="shared" si="6"/>
        <v>1.05</v>
      </c>
      <c r="E54" s="41">
        <f t="shared" si="6"/>
        <v>1.52</v>
      </c>
      <c r="F54" s="41">
        <f t="shared" si="6"/>
        <v>0</v>
      </c>
      <c r="G54" s="41">
        <f t="shared" si="6"/>
        <v>0</v>
      </c>
      <c r="H54" s="41">
        <f t="shared" si="6"/>
        <v>0</v>
      </c>
      <c r="I54" s="41">
        <f t="shared" si="6"/>
        <v>0</v>
      </c>
      <c r="J54" s="41">
        <f t="shared" si="6"/>
        <v>0</v>
      </c>
      <c r="K54" s="41">
        <f t="shared" si="6"/>
        <v>0</v>
      </c>
      <c r="L54" s="41">
        <f t="shared" si="6"/>
        <v>0</v>
      </c>
      <c r="M54" s="41">
        <f t="shared" si="6"/>
        <v>0</v>
      </c>
    </row>
    <row r="57"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>
      <c r="A60" s="1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7"/>
    </row>
    <row r="61">
      <c r="A61" s="1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7"/>
    </row>
    <row r="62">
      <c r="A62" s="43"/>
    </row>
  </sheetData>
  <mergeCells count="6">
    <mergeCell ref="B4:M4"/>
    <mergeCell ref="B13:M13"/>
    <mergeCell ref="B22:M22"/>
    <mergeCell ref="B31:M31"/>
    <mergeCell ref="B40:M40"/>
    <mergeCell ref="B49:M49"/>
  </mergeCells>
  <conditionalFormatting sqref="B6:M9">
    <cfRule type="cellIs" dxfId="0" priority="1" operator="greaterThan">
      <formula>0</formula>
    </cfRule>
  </conditionalFormatting>
  <conditionalFormatting sqref="B6:M9">
    <cfRule type="cellIs" dxfId="1" priority="2" operator="lessThan">
      <formula>0</formula>
    </cfRule>
  </conditionalFormatting>
  <conditionalFormatting sqref="B6:M9">
    <cfRule type="cellIs" dxfId="2" priority="3" operator="equal">
      <formula>0</formula>
    </cfRule>
  </conditionalFormatting>
  <drawing r:id="rId1"/>
</worksheet>
</file>